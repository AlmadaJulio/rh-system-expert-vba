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date1904="1" updateLinks="never"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almad\OneDrive\Desktop\RH_SystemExpert\Sistema\"/>
    </mc:Choice>
  </mc:AlternateContent>
  <xr:revisionPtr revIDLastSave="0" documentId="13_ncr:1_{77987F0F-8DAC-4C3F-9EC4-95880687C275}" xr6:coauthVersionLast="47" xr6:coauthVersionMax="47" xr10:uidLastSave="{00000000-0000-0000-0000-000000000000}"/>
  <bookViews>
    <workbookView xWindow="-120" yWindow="-120" windowWidth="24240" windowHeight="13020" tabRatio="802" xr2:uid="{AABA4875-D411-4DE8-BD45-999E00901D3C}"/>
  </bookViews>
  <sheets>
    <sheet name="DASHBOARD" sheetId="1" r:id="rId1"/>
    <sheet name="IMPORTACAO" sheetId="2" r:id="rId2"/>
    <sheet name="FUNCIONARIOS" sheetId="3" r:id="rId3"/>
    <sheet name="BASE_PONTO" sheetId="4" r:id="rId4"/>
    <sheet name="JORNADA" sheetId="5" r:id="rId5"/>
    <sheet name="AUXILIAR" sheetId="7" r:id="rId6"/>
    <sheet name="MODELO_PDF" sheetId="11" r:id="rId7"/>
    <sheet name="VIEW" sheetId="9" r:id="rId8"/>
    <sheet name="Forms_Teste" sheetId="13" r:id="rId9"/>
  </sheets>
  <functionGroups builtInGroupCount="19"/>
  <definedNames>
    <definedName name="_xlnm.Print_Area" localSheetId="0">DASHBOARD!$A$1:$Y$36</definedName>
    <definedName name="_xlnm.Print_Area" localSheetId="6">MODELO_PDF!$A$1:$H$40</definedName>
    <definedName name="Grafico_Horas_Unidade">#REF!</definedName>
    <definedName name="Lista_Funcionarios">INDIRECT("tbl_Funcionarios[Matricula]")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3" i="7" l="1"/>
  <c r="B1" i="7"/>
  <c r="B2" i="7"/>
  <c r="E1" i="7"/>
  <c r="B6" i="7"/>
  <c r="H3" i="7" s="1"/>
  <c r="B11" i="7"/>
  <c r="E36" i="11"/>
  <c r="B8" i="7" l="1"/>
  <c r="B7" i="7"/>
  <c r="B5" i="7"/>
  <c r="B14" i="7" s="1"/>
  <c r="B12" i="7"/>
  <c r="K2" i="7"/>
  <c r="B10" i="7"/>
  <c r="B9" i="7" l="1"/>
  <c r="L2" i="7"/>
  <c r="H2" i="7"/>
</calcChain>
</file>

<file path=xl/sharedStrings.xml><?xml version="1.0" encoding="utf-8"?>
<sst xmlns="http://schemas.openxmlformats.org/spreadsheetml/2006/main" count="203" uniqueCount="96">
  <si>
    <t>Timestamp</t>
  </si>
  <si>
    <t>Matricula</t>
  </si>
  <si>
    <t>Unidade</t>
  </si>
  <si>
    <t>Data</t>
  </si>
  <si>
    <t>Hora</t>
  </si>
  <si>
    <t>TotalHoras</t>
  </si>
  <si>
    <t>Status</t>
  </si>
  <si>
    <t>HorasExtras</t>
  </si>
  <si>
    <t>Nome</t>
  </si>
  <si>
    <t>Cargo</t>
  </si>
  <si>
    <t>RH System Expert</t>
  </si>
  <si>
    <t>Ano</t>
  </si>
  <si>
    <t>Matrícula:</t>
  </si>
  <si>
    <t xml:space="preserve">Mês: </t>
  </si>
  <si>
    <t xml:space="preserve">Ano: </t>
  </si>
  <si>
    <t>Nome:</t>
  </si>
  <si>
    <t>Cargo:</t>
  </si>
  <si>
    <t>Mês/Ano:</t>
  </si>
  <si>
    <t>Unidade:</t>
  </si>
  <si>
    <t>Dia</t>
  </si>
  <si>
    <t>Total Dia</t>
  </si>
  <si>
    <t>Observação</t>
  </si>
  <si>
    <t>Controle de Presença e Horas</t>
  </si>
  <si>
    <t>Empresa:</t>
  </si>
  <si>
    <t>Horário de Saída</t>
  </si>
  <si>
    <t>Horário de Entrada</t>
  </si>
  <si>
    <t>Saída</t>
  </si>
  <si>
    <t>Retorno</t>
  </si>
  <si>
    <t xml:space="preserve">Intervalo </t>
  </si>
  <si>
    <t>Matriz</t>
  </si>
  <si>
    <t>'</t>
  </si>
  <si>
    <t>Batida1</t>
  </si>
  <si>
    <t>Batida2</t>
  </si>
  <si>
    <t>Batida3</t>
  </si>
  <si>
    <t>Batida4</t>
  </si>
  <si>
    <t>Mes</t>
  </si>
  <si>
    <t>B1</t>
  </si>
  <si>
    <t>Matrícula (00000)</t>
  </si>
  <si>
    <t>Controle Interno</t>
  </si>
  <si>
    <t>B2</t>
  </si>
  <si>
    <t>Mês</t>
  </si>
  <si>
    <t>B3</t>
  </si>
  <si>
    <t>---</t>
  </si>
  <si>
    <t>B5</t>
  </si>
  <si>
    <t>Horas Trabalhadas (Realizado)</t>
  </si>
  <si>
    <r>
      <t>Card 1</t>
    </r>
    <r>
      <rPr>
        <sz val="11"/>
        <color rgb="FF1F1F1F"/>
        <rFont val="Arial"/>
        <family val="2"/>
      </rPr>
      <t xml:space="preserve"> (+ Gráfico de Progresso)</t>
    </r>
  </si>
  <si>
    <t>B6</t>
  </si>
  <si>
    <t>Meta de Horas (Ex: 160:00)</t>
  </si>
  <si>
    <r>
      <t>Card 1</t>
    </r>
    <r>
      <rPr>
        <sz val="11"/>
        <color rgb="FF1F1F1F"/>
        <rFont val="Arial"/>
        <family val="2"/>
      </rPr>
      <t xml:space="preserve"> (Base do Gráfico)</t>
    </r>
  </si>
  <si>
    <t>B8</t>
  </si>
  <si>
    <t>Saldo Positivo (Extras)</t>
  </si>
  <si>
    <r>
      <t>Card 2</t>
    </r>
    <r>
      <rPr>
        <sz val="11"/>
        <color rgb="FF1F1F1F"/>
        <rFont val="Arial"/>
        <family val="2"/>
      </rPr>
      <t xml:space="preserve"> (+ Gráfico de Rosca)</t>
    </r>
  </si>
  <si>
    <t>B9</t>
  </si>
  <si>
    <t>Saldo Negativo (Débitos)</t>
  </si>
  <si>
    <t>B10</t>
  </si>
  <si>
    <t>Saldo Final (Líquido)</t>
  </si>
  <si>
    <r>
      <t>Card 2</t>
    </r>
    <r>
      <rPr>
        <sz val="11"/>
        <color rgb="FF1F1F1F"/>
        <rFont val="Arial"/>
        <family val="2"/>
      </rPr>
      <t xml:space="preserve"> (Valor do Texto)</t>
    </r>
  </si>
  <si>
    <t>B12</t>
  </si>
  <si>
    <t>Registros Incompletos (Qtd)</t>
  </si>
  <si>
    <r>
      <t>Card 3</t>
    </r>
    <r>
      <rPr>
        <sz val="11"/>
        <color rgb="FF1F1F1F"/>
        <rFont val="Arial"/>
        <family val="2"/>
      </rPr>
      <t xml:space="preserve"> (Alerta de Qualidade)</t>
    </r>
  </si>
  <si>
    <t>B13</t>
  </si>
  <si>
    <t>Funcionários Ativos (Qtd)</t>
  </si>
  <si>
    <r>
      <t>Card 4</t>
    </r>
    <r>
      <rPr>
        <sz val="11"/>
        <color rgb="FF1F1F1F"/>
        <rFont val="Arial"/>
        <family val="2"/>
      </rPr>
      <t xml:space="preserve"> (Visão Geral)</t>
    </r>
  </si>
  <si>
    <t>% Absenteísmo (Débitos/Meta)</t>
  </si>
  <si>
    <r>
      <t>Card 5</t>
    </r>
    <r>
      <rPr>
        <sz val="11"/>
        <color rgb="FF1F1F1F"/>
        <rFont val="Arial"/>
        <family val="2"/>
      </rPr>
      <t xml:space="preserve"> (Saúde do RH)</t>
    </r>
  </si>
  <si>
    <t>Valor Estimado R$ (Opcional)</t>
  </si>
  <si>
    <r>
      <t>Card 6</t>
    </r>
    <r>
      <rPr>
        <sz val="11"/>
        <color rgb="FF1F1F1F"/>
        <rFont val="Arial"/>
        <family val="2"/>
      </rPr>
      <t xml:space="preserve"> (Financeiro)</t>
    </r>
  </si>
  <si>
    <t>B7</t>
  </si>
  <si>
    <t>B11</t>
  </si>
  <si>
    <t>HorasDeficit</t>
  </si>
  <si>
    <t>Meta</t>
  </si>
  <si>
    <t>Valor</t>
  </si>
  <si>
    <t>Categoria</t>
  </si>
  <si>
    <t>Realizado</t>
  </si>
  <si>
    <t>Restante</t>
  </si>
  <si>
    <t>B14</t>
  </si>
  <si>
    <r>
      <t>Progresso Real</t>
    </r>
    <r>
      <rPr>
        <sz val="11"/>
        <color theme="1"/>
        <rFont val="Aptos Narrow"/>
        <family val="2"/>
        <scheme val="minor"/>
      </rPr>
      <t xml:space="preserve"> (Trabalhadas vs. Meta)</t>
    </r>
  </si>
  <si>
    <r>
      <rPr>
        <b/>
        <sz val="11"/>
        <color theme="1"/>
        <rFont val="Aptos Narrow"/>
        <family val="2"/>
        <scheme val="minor"/>
      </rPr>
      <t>Grafico</t>
    </r>
    <r>
      <rPr>
        <sz val="11"/>
        <color theme="1"/>
        <rFont val="Aptos Narrow"/>
        <family val="2"/>
        <scheme val="minor"/>
      </rPr>
      <t xml:space="preserve"> </t>
    </r>
    <r>
      <rPr>
        <b/>
        <sz val="11"/>
        <color theme="1"/>
        <rFont val="Aptos Narrow"/>
        <family val="2"/>
        <scheme val="minor"/>
      </rPr>
      <t>Rosca</t>
    </r>
  </si>
  <si>
    <t>Horas</t>
  </si>
  <si>
    <t>B4</t>
  </si>
  <si>
    <t>G3</t>
  </si>
  <si>
    <t>G4</t>
  </si>
  <si>
    <t>Assinatura</t>
  </si>
  <si>
    <t>Data:</t>
  </si>
  <si>
    <t>G2</t>
  </si>
  <si>
    <t>A8</t>
  </si>
  <si>
    <t>C8</t>
  </si>
  <si>
    <t>D8</t>
  </si>
  <si>
    <t>E8</t>
  </si>
  <si>
    <t>F8</t>
  </si>
  <si>
    <t>G8</t>
  </si>
  <si>
    <t>D34 a G34</t>
  </si>
  <si>
    <t>Data hoje()</t>
  </si>
  <si>
    <t>E36 ate F36</t>
  </si>
  <si>
    <t xml:space="preserve"> </t>
  </si>
  <si>
    <t>0/0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</si>
</sst>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h]:mm"/>
    <numFmt numFmtId="165" formatCode="[hh]:mm"/>
    <numFmt numFmtId="166" formatCode="0.0%"/>
    <numFmt numFmtId="167" formatCode="[hh]:mm:ss"/>
    <numFmt numFmtId="168" formatCode="dd/mm/yyyy\ hh:mm:ss"/>
  </numFmts>
  <fonts count="2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rgb="FF54678E"/>
      <name val="Aptos Narrow"/>
      <family val="2"/>
      <scheme val="minor"/>
    </font>
    <font>
      <sz val="10"/>
      <color theme="1"/>
      <name val="Arial Unicode MS"/>
    </font>
    <font>
      <b/>
      <sz val="12"/>
      <color theme="1"/>
      <name val="Aptos Narrow"/>
      <family val="2"/>
      <scheme val="minor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sz val="8"/>
      <name val="Aptos Narrow"/>
      <family val="2"/>
      <scheme val="minor"/>
    </font>
    <font>
      <b/>
      <sz val="11"/>
      <color rgb="FF54678E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2"/>
      <color theme="1"/>
      <name val="Aptos Narrow"/>
      <family val="2"/>
      <scheme val="minor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b/>
      <sz val="10"/>
      <color theme="0" tint="-0.499984740745262"/>
      <name val="Aptos Narrow"/>
      <family val="2"/>
      <scheme val="minor"/>
    </font>
    <font>
      <b/>
      <sz val="14"/>
      <color theme="1"/>
      <name val="Arial"/>
      <family val="2"/>
    </font>
    <font>
      <b/>
      <sz val="12"/>
      <color rgb="FF1F1F1F"/>
      <name val="Arial"/>
      <family val="2"/>
    </font>
    <font>
      <b/>
      <sz val="14"/>
      <color rgb="FF5E5E5E"/>
      <name val="Segoe UI"/>
      <family val="2"/>
    </font>
    <font>
      <b/>
      <u/>
      <sz val="10"/>
      <color theme="0" tint="-0.499984740745262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ECECEC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rgb="FFDDDDDD"/>
      </bottom>
      <diagonal/>
    </border>
    <border>
      <left/>
      <right/>
      <top style="thin">
        <color rgb="FFDDDDDD"/>
      </top>
      <bottom style="thin">
        <color rgb="FFDDDDDD"/>
      </bottom>
      <diagonal/>
    </border>
    <border>
      <left/>
      <right/>
      <top style="thin">
        <color rgb="FFDDDDDD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/>
      <top/>
      <bottom style="hair">
        <color theme="1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</borders>
  <cellStyleXfs count="1">
    <xf numFmtId="0" fontId="0" fillId="0" borderId="0"/>
  </cellStyleXfs>
  <cellXfs count="117">
    <xf numFmtId="0" fontId="0" fillId="0" borderId="0" xfId="0"/>
    <xf numFmtId="0" fontId="0" fillId="2" borderId="0" xfId="0" applyFill="1"/>
    <xf numFmtId="0" fontId="2" fillId="0" borderId="0" xfId="0" applyFont="1"/>
    <xf numFmtId="0" fontId="0" fillId="0" borderId="0" xfId="0" applyFill="1"/>
    <xf numFmtId="164" fontId="0" fillId="0" borderId="0" xfId="0" applyNumberFormat="1"/>
    <xf numFmtId="0" fontId="2" fillId="2" borderId="0" xfId="0" applyFont="1" applyFill="1"/>
    <xf numFmtId="0" fontId="0" fillId="0" borderId="0" xfId="0" applyFont="1"/>
    <xf numFmtId="49" fontId="0" fillId="0" borderId="0" xfId="0" applyNumberFormat="1"/>
    <xf numFmtId="49" fontId="0" fillId="0" borderId="0" xfId="0" applyNumberFormat="1" applyFont="1"/>
    <xf numFmtId="0" fontId="0" fillId="2" borderId="0" xfId="0" applyFont="1" applyFill="1"/>
    <xf numFmtId="22" fontId="0" fillId="0" borderId="0" xfId="0" applyNumberFormat="1"/>
    <xf numFmtId="0" fontId="3" fillId="2" borderId="0" xfId="0" applyFont="1" applyFill="1"/>
    <xf numFmtId="0" fontId="4" fillId="2" borderId="0" xfId="0" applyFont="1" applyFill="1" applyAlignment="1">
      <alignment vertical="center"/>
    </xf>
    <xf numFmtId="49" fontId="2" fillId="0" borderId="0" xfId="0" applyNumberFormat="1" applyFont="1"/>
    <xf numFmtId="0" fontId="6" fillId="0" borderId="1" xfId="0" applyFont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0" fontId="7" fillId="0" borderId="2" xfId="0" applyFont="1" applyBorder="1"/>
    <xf numFmtId="0" fontId="7" fillId="0" borderId="0" xfId="0" applyFont="1" applyBorder="1"/>
    <xf numFmtId="164" fontId="7" fillId="0" borderId="0" xfId="0" applyNumberFormat="1" applyFont="1" applyBorder="1"/>
    <xf numFmtId="49" fontId="7" fillId="0" borderId="0" xfId="0" applyNumberFormat="1" applyFont="1" applyBorder="1"/>
    <xf numFmtId="49" fontId="6" fillId="0" borderId="1" xfId="0" applyNumberFormat="1" applyFont="1" applyBorder="1" applyAlignment="1">
      <alignment horizontal="center" vertical="center"/>
    </xf>
    <xf numFmtId="49" fontId="6" fillId="0" borderId="1" xfId="0" applyNumberFormat="1" applyFont="1" applyBorder="1"/>
    <xf numFmtId="14" fontId="6" fillId="0" borderId="1" xfId="0" applyNumberFormat="1" applyFont="1" applyBorder="1" applyAlignment="1">
      <alignment horizontal="center" vertical="center"/>
    </xf>
    <xf numFmtId="20" fontId="6" fillId="0" borderId="1" xfId="0" applyNumberFormat="1" applyFont="1" applyBorder="1" applyAlignment="1">
      <alignment horizontal="center" vertical="center"/>
    </xf>
    <xf numFmtId="0" fontId="11" fillId="2" borderId="0" xfId="0" applyFont="1" applyFill="1" applyAlignment="1">
      <alignment horizontal="right" vertical="center"/>
    </xf>
    <xf numFmtId="22" fontId="0" fillId="0" borderId="0" xfId="0" applyNumberFormat="1" applyFont="1"/>
    <xf numFmtId="0" fontId="0" fillId="2" borderId="0" xfId="0" quotePrefix="1" applyFill="1"/>
    <xf numFmtId="0" fontId="1" fillId="0" borderId="0" xfId="0" applyFont="1" applyAlignment="1">
      <alignment horizontal="center" vertical="center" wrapText="1"/>
    </xf>
    <xf numFmtId="0" fontId="12" fillId="0" borderId="0" xfId="0" applyFont="1"/>
    <xf numFmtId="164" fontId="12" fillId="0" borderId="0" xfId="0" applyNumberFormat="1" applyFont="1"/>
    <xf numFmtId="164" fontId="12" fillId="0" borderId="0" xfId="0" applyNumberFormat="1" applyFont="1" applyProtection="1">
      <protection hidden="1"/>
    </xf>
    <xf numFmtId="0" fontId="13" fillId="0" borderId="0" xfId="0" applyFont="1"/>
    <xf numFmtId="164" fontId="0" fillId="0" borderId="0" xfId="0" applyNumberFormat="1" applyFont="1"/>
    <xf numFmtId="14" fontId="0" fillId="0" borderId="0" xfId="0" applyNumberFormat="1"/>
    <xf numFmtId="0" fontId="15" fillId="0" borderId="10" xfId="0" applyFont="1" applyBorder="1" applyAlignment="1">
      <alignment horizontal="left" vertical="center" wrapText="1" indent="1" readingOrder="1"/>
    </xf>
    <xf numFmtId="0" fontId="15" fillId="0" borderId="10" xfId="0" applyFont="1" applyBorder="1" applyAlignment="1">
      <alignment vertical="center" wrapText="1" readingOrder="1"/>
    </xf>
    <xf numFmtId="0" fontId="14" fillId="0" borderId="10" xfId="0" applyFont="1" applyBorder="1" applyAlignment="1">
      <alignment horizontal="left" vertical="center" wrapText="1" indent="1" readingOrder="1"/>
    </xf>
    <xf numFmtId="0" fontId="14" fillId="0" borderId="10" xfId="0" applyFont="1" applyBorder="1" applyAlignment="1">
      <alignment vertical="center" wrapText="1" readingOrder="1"/>
    </xf>
    <xf numFmtId="0" fontId="15" fillId="0" borderId="10" xfId="0" applyFont="1" applyBorder="1" applyAlignment="1">
      <alignment horizontal="center" vertical="center" wrapText="1" readingOrder="1"/>
    </xf>
    <xf numFmtId="0" fontId="0" fillId="0" borderId="0" xfId="0" applyAlignment="1">
      <alignment horizontal="left"/>
    </xf>
    <xf numFmtId="165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1" fontId="0" fillId="0" borderId="0" xfId="0" applyNumberFormat="1"/>
    <xf numFmtId="164" fontId="12" fillId="0" borderId="0" xfId="0" applyNumberFormat="1" applyFont="1" applyProtection="1">
      <protection locked="0"/>
    </xf>
    <xf numFmtId="0" fontId="12" fillId="2" borderId="0" xfId="0" applyFont="1" applyFill="1"/>
    <xf numFmtId="164" fontId="15" fillId="0" borderId="10" xfId="0" applyNumberFormat="1" applyFont="1" applyBorder="1" applyAlignment="1">
      <alignment horizontal="center" vertical="center" wrapText="1" readingOrder="1"/>
    </xf>
    <xf numFmtId="164" fontId="15" fillId="0" borderId="10" xfId="0" applyNumberFormat="1" applyFont="1" applyBorder="1" applyAlignment="1" applyProtection="1">
      <alignment horizontal="center" vertical="center" wrapText="1" readingOrder="1"/>
      <protection locked="0"/>
    </xf>
    <xf numFmtId="164" fontId="5" fillId="0" borderId="0" xfId="0" applyNumberFormat="1" applyFont="1" applyAlignment="1" applyProtection="1">
      <alignment horizontal="center" vertical="center"/>
      <protection locked="0"/>
    </xf>
    <xf numFmtId="1" fontId="15" fillId="0" borderId="10" xfId="0" applyNumberFormat="1" applyFont="1" applyBorder="1" applyAlignment="1">
      <alignment horizontal="center" vertical="center" wrapText="1" readingOrder="1"/>
    </xf>
    <xf numFmtId="0" fontId="15" fillId="0" borderId="11" xfId="0" applyFont="1" applyBorder="1" applyAlignment="1">
      <alignment horizontal="center" vertical="center" wrapText="1" readingOrder="1"/>
    </xf>
    <xf numFmtId="0" fontId="14" fillId="0" borderId="11" xfId="0" applyFont="1" applyBorder="1" applyAlignment="1">
      <alignment horizontal="left" vertical="center" wrapText="1" indent="1" readingOrder="1"/>
    </xf>
    <xf numFmtId="0" fontId="15" fillId="0" borderId="11" xfId="0" applyFont="1" applyBorder="1" applyAlignment="1">
      <alignment vertical="center" wrapText="1" readingOrder="1"/>
    </xf>
    <xf numFmtId="0" fontId="15" fillId="0" borderId="1" xfId="0" applyFont="1" applyFill="1" applyBorder="1" applyAlignment="1">
      <alignment horizontal="center" vertical="center" wrapText="1" readingOrder="1"/>
    </xf>
    <xf numFmtId="0" fontId="1" fillId="0" borderId="1" xfId="0" applyFont="1" applyBorder="1"/>
    <xf numFmtId="0" fontId="0" fillId="0" borderId="1" xfId="0" applyBorder="1"/>
    <xf numFmtId="9" fontId="15" fillId="0" borderId="11" xfId="0" applyNumberFormat="1" applyFont="1" applyBorder="1" applyAlignment="1">
      <alignment horizontal="center" vertical="center" wrapText="1" readingOrder="1"/>
    </xf>
    <xf numFmtId="0" fontId="15" fillId="0" borderId="1" xfId="0" applyFont="1" applyBorder="1" applyAlignment="1">
      <alignment horizontal="center" vertical="center" wrapText="1" readingOrder="1"/>
    </xf>
    <xf numFmtId="164" fontId="15" fillId="0" borderId="1" xfId="0" applyNumberFormat="1" applyFont="1" applyBorder="1" applyAlignment="1">
      <alignment horizontal="center" vertical="center" wrapText="1" readingOrder="1"/>
    </xf>
    <xf numFmtId="0" fontId="14" fillId="0" borderId="1" xfId="0" applyFont="1" applyBorder="1" applyAlignment="1">
      <alignment horizontal="left" vertical="center" wrapText="1" indent="1" readingOrder="1"/>
    </xf>
    <xf numFmtId="0" fontId="15" fillId="0" borderId="1" xfId="0" applyFont="1" applyBorder="1" applyAlignment="1">
      <alignment vertical="center" wrapText="1" readingOrder="1"/>
    </xf>
    <xf numFmtId="1" fontId="16" fillId="3" borderId="7" xfId="0" applyNumberFormat="1" applyFont="1" applyFill="1" applyBorder="1" applyAlignment="1" applyProtection="1">
      <alignment horizontal="right" vertical="center"/>
      <protection locked="0"/>
    </xf>
    <xf numFmtId="1" fontId="16" fillId="3" borderId="8" xfId="0" applyNumberFormat="1" applyFont="1" applyFill="1" applyBorder="1" applyAlignment="1" applyProtection="1">
      <alignment horizontal="right" vertical="center"/>
      <protection locked="0"/>
    </xf>
    <xf numFmtId="164" fontId="2" fillId="0" borderId="0" xfId="0" applyNumberFormat="1" applyFont="1"/>
    <xf numFmtId="164" fontId="8" fillId="0" borderId="1" xfId="0" applyNumberFormat="1" applyFont="1" applyBorder="1" applyAlignment="1">
      <alignment horizontal="center" vertical="center"/>
    </xf>
    <xf numFmtId="0" fontId="0" fillId="0" borderId="12" xfId="0" applyBorder="1"/>
    <xf numFmtId="0" fontId="0" fillId="0" borderId="0" xfId="0" applyBorder="1"/>
    <xf numFmtId="0" fontId="0" fillId="0" borderId="0" xfId="0" applyAlignment="1">
      <alignment horizontal="right"/>
    </xf>
    <xf numFmtId="0" fontId="7" fillId="0" borderId="0" xfId="0" applyFont="1" applyAlignment="1">
      <alignment horizontal="right"/>
    </xf>
    <xf numFmtId="0" fontId="18" fillId="0" borderId="10" xfId="0" applyFont="1" applyBorder="1" applyAlignment="1">
      <alignment horizontal="center" vertical="center" wrapText="1" readingOrder="1"/>
    </xf>
    <xf numFmtId="164" fontId="7" fillId="0" borderId="2" xfId="0" applyNumberFormat="1" applyFont="1" applyBorder="1" applyAlignment="1">
      <alignment horizontal="left"/>
    </xf>
    <xf numFmtId="0" fontId="15" fillId="0" borderId="13" xfId="0" applyFont="1" applyBorder="1" applyAlignment="1">
      <alignment horizontal="center" vertical="center" wrapText="1" readingOrder="1"/>
    </xf>
    <xf numFmtId="0" fontId="14" fillId="0" borderId="14" xfId="0" applyFont="1" applyBorder="1" applyAlignment="1">
      <alignment horizontal="left" vertical="center" wrapText="1" indent="1" readingOrder="1"/>
    </xf>
    <xf numFmtId="164" fontId="15" fillId="0" borderId="11" xfId="0" applyNumberFormat="1" applyFont="1" applyBorder="1" applyAlignment="1" applyProtection="1">
      <alignment horizontal="center" vertical="center" wrapText="1" readingOrder="1"/>
      <protection locked="0"/>
    </xf>
    <xf numFmtId="1" fontId="15" fillId="0" borderId="15" xfId="0" applyNumberFormat="1" applyFont="1" applyBorder="1" applyAlignment="1">
      <alignment horizontal="center" vertical="center" wrapText="1" readingOrder="1"/>
    </xf>
    <xf numFmtId="166" fontId="1" fillId="0" borderId="1" xfId="0" applyNumberFormat="1" applyFont="1" applyBorder="1" applyAlignment="1">
      <alignment horizontal="center" vertical="center"/>
    </xf>
    <xf numFmtId="0" fontId="2" fillId="0" borderId="0" xfId="0" applyFont="1" applyProtection="1">
      <protection hidden="1"/>
    </xf>
    <xf numFmtId="0" fontId="0" fillId="2" borderId="0" xfId="0" applyFill="1" applyProtection="1">
      <protection hidden="1"/>
    </xf>
    <xf numFmtId="0" fontId="0" fillId="0" borderId="0" xfId="0" applyProtection="1">
      <protection hidden="1"/>
    </xf>
    <xf numFmtId="49" fontId="0" fillId="0" borderId="0" xfId="0" applyNumberFormat="1" applyFont="1" applyProtection="1">
      <protection hidden="1"/>
    </xf>
    <xf numFmtId="164" fontId="19" fillId="0" borderId="0" xfId="0" applyNumberFormat="1" applyFont="1" applyBorder="1" applyAlignment="1">
      <alignment horizontal="center" vertical="center" wrapText="1" readingOrder="1"/>
    </xf>
    <xf numFmtId="49" fontId="0" fillId="0" borderId="0" xfId="0" applyNumberFormat="1" applyProtection="1">
      <protection hidden="1"/>
    </xf>
    <xf numFmtId="167" fontId="0" fillId="0" borderId="0" xfId="0" applyNumberFormat="1"/>
    <xf numFmtId="168" fontId="0" fillId="0" borderId="0" xfId="0" applyNumberFormat="1"/>
    <xf numFmtId="1" fontId="5" fillId="0" borderId="0" xfId="0" applyNumberFormat="1" applyFont="1" applyAlignment="1">
      <alignment horizontal="center" vertical="center"/>
    </xf>
    <xf numFmtId="164" fontId="13" fillId="0" borderId="0" xfId="0" applyNumberFormat="1" applyFont="1"/>
    <xf numFmtId="14" fontId="0" fillId="0" borderId="0" xfId="0" applyNumberFormat="1" applyFont="1"/>
    <xf numFmtId="14" fontId="0" fillId="0" borderId="0" xfId="0" applyNumberFormat="1"/>
    <xf numFmtId="21" fontId="0" fillId="0" borderId="0" xfId="0" applyNumberFormat="1" applyFont="1"/>
    <xf numFmtId="21" fontId="0" fillId="0" borderId="0" xfId="0" applyNumberFormat="1"/>
    <xf numFmtId="49" fontId="20" fillId="3" borderId="9" xfId="0" quotePrefix="1" applyNumberFormat="1" applyFont="1" applyFill="1" applyBorder="1" applyAlignment="1" applyProtection="1">
      <alignment horizontal="right" vertical="center"/>
      <protection locked="0"/>
    </xf>
    <xf numFmtId="14" fontId="2" fillId="0" borderId="0" xfId="0" applyNumberFormat="1" applyFont="1"/>
    <xf numFmtId="21" fontId="2" fillId="0" borderId="0" xfId="0" applyNumberFormat="1" applyFont="1"/>
    <xf numFmtId="14" fontId="0" fillId="0" borderId="0" xfId="0" applyNumberFormat="1"/>
    <xf numFmtId="49" fontId="9" fillId="0" borderId="5" xfId="0" applyNumberFormat="1" applyFont="1" applyBorder="1" applyAlignment="1">
      <alignment horizontal="center" vertical="center"/>
    </xf>
    <xf numFmtId="49" fontId="9" fillId="0" borderId="6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14" fontId="7" fillId="0" borderId="3" xfId="0" applyNumberFormat="1" applyFont="1" applyBorder="1" applyAlignment="1">
      <alignment horizontal="left"/>
    </xf>
    <xf numFmtId="14" fontId="7" fillId="0" borderId="4" xfId="0" applyNumberFormat="1" applyFont="1" applyBorder="1" applyAlignment="1">
      <alignment horizontal="left"/>
    </xf>
    <xf numFmtId="49" fontId="7" fillId="0" borderId="3" xfId="0" applyNumberFormat="1" applyFont="1" applyBorder="1"/>
    <xf numFmtId="49" fontId="7" fillId="0" borderId="4" xfId="0" applyNumberFormat="1" applyFont="1" applyBorder="1"/>
    <xf numFmtId="164" fontId="7" fillId="0" borderId="3" xfId="0" applyNumberFormat="1" applyFont="1" applyBorder="1"/>
    <xf numFmtId="164" fontId="7" fillId="0" borderId="4" xfId="0" applyNumberFormat="1" applyFont="1" applyBorder="1"/>
    <xf numFmtId="0" fontId="7" fillId="0" borderId="3" xfId="0" applyFont="1" applyBorder="1" applyAlignment="1">
      <alignment horizontal="left"/>
    </xf>
    <xf numFmtId="0" fontId="7" fillId="0" borderId="4" xfId="0" applyFont="1" applyBorder="1" applyAlignment="1">
      <alignment horizontal="left"/>
    </xf>
    <xf numFmtId="0" fontId="8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164" fontId="9" fillId="0" borderId="5" xfId="0" applyNumberFormat="1" applyFont="1" applyBorder="1" applyAlignment="1">
      <alignment horizontal="center" vertical="center"/>
    </xf>
    <xf numFmtId="164" fontId="9" fillId="0" borderId="6" xfId="0" applyNumberFormat="1" applyFont="1" applyBorder="1" applyAlignment="1">
      <alignment horizontal="center" vertical="center"/>
    </xf>
    <xf numFmtId="164" fontId="9" fillId="0" borderId="5" xfId="0" applyNumberFormat="1" applyFont="1" applyBorder="1" applyAlignment="1">
      <alignment horizontal="center" vertical="center" wrapText="1"/>
    </xf>
    <xf numFmtId="164" fontId="9" fillId="0" borderId="6" xfId="0" applyNumberFormat="1" applyFont="1" applyBorder="1" applyAlignment="1">
      <alignment horizontal="center" vertical="center" wrapText="1"/>
    </xf>
    <xf numFmtId="14" fontId="9" fillId="0" borderId="5" xfId="0" applyNumberFormat="1" applyFont="1" applyBorder="1" applyAlignment="1">
      <alignment horizontal="center" vertical="center"/>
    </xf>
    <xf numFmtId="14" fontId="9" fillId="0" borderId="6" xfId="0" applyNumberFormat="1" applyFont="1" applyBorder="1" applyAlignment="1">
      <alignment horizontal="center" vertical="center"/>
    </xf>
    <xf numFmtId="164" fontId="9" fillId="0" borderId="2" xfId="0" applyNumberFormat="1" applyFont="1" applyBorder="1" applyAlignment="1">
      <alignment horizontal="center" vertical="center"/>
    </xf>
    <xf numFmtId="164" fontId="9" fillId="0" borderId="4" xfId="0" applyNumberFormat="1" applyFont="1" applyBorder="1" applyAlignment="1">
      <alignment horizontal="center" vertical="center"/>
    </xf>
  </cellXfs>
  <cellStyles count="1">
    <cellStyle name="Normal" xfId="0" builtinId="0"/>
  </cellStyles>
  <dxfs count="25">
    <dxf>
      <font>
        <b/>
        <i val="0"/>
        <color rgb="FFD81B60"/>
      </font>
    </dxf>
    <dxf>
      <font>
        <b/>
        <i val="0"/>
        <color rgb="FF0ED886"/>
      </font>
    </dxf>
    <dxf>
      <numFmt numFmtId="1" formatCode="0"/>
    </dxf>
    <dxf>
      <numFmt numFmtId="167" formatCode="[hh]:mm:ss"/>
    </dxf>
    <dxf>
      <numFmt numFmtId="167" formatCode="[hh]:mm:ss"/>
    </dxf>
    <dxf>
      <numFmt numFmtId="167" formatCode="[hh]:mm:ss"/>
    </dxf>
    <dxf>
      <numFmt numFmtId="167" formatCode="[hh]:mm:ss"/>
    </dxf>
    <dxf>
      <numFmt numFmtId="167" formatCode="[hh]:mm:ss"/>
    </dxf>
    <dxf>
      <numFmt numFmtId="167" formatCode="[hh]:mm:ss"/>
    </dxf>
    <dxf>
      <numFmt numFmtId="167" formatCode="[hh]:mm:ss"/>
    </dxf>
    <dxf>
      <numFmt numFmtId="30" formatCode="@"/>
    </dxf>
    <dxf>
      <numFmt numFmtId="19" formatCode="dd/mm/yyyy"/>
    </dxf>
    <dxf>
      <font>
        <strike val="0"/>
        <outline val="0"/>
        <shadow val="0"/>
        <u/>
        <vertAlign val="baseline"/>
        <sz val="11"/>
        <color theme="1"/>
        <name val="Aptos Narrow"/>
        <family val="2"/>
        <scheme val="minor"/>
      </font>
      <numFmt numFmtId="30" formatCode="@"/>
    </dxf>
    <dxf>
      <font>
        <strike val="0"/>
        <outline val="0"/>
        <shadow val="0"/>
        <u/>
        <vertAlign val="baseline"/>
        <sz val="11"/>
        <color theme="1"/>
        <name val="Aptos Narrow"/>
        <family val="2"/>
        <scheme val="minor"/>
      </font>
      <numFmt numFmtId="30" formatCode="@"/>
    </dxf>
    <dxf>
      <font>
        <strike val="0"/>
        <outline val="0"/>
        <shadow val="0"/>
        <u/>
        <vertAlign val="baseline"/>
        <sz val="11"/>
        <color theme="1"/>
        <name val="Aptos Narrow"/>
        <family val="2"/>
        <scheme val="minor"/>
      </font>
      <numFmt numFmtId="26" formatCode="hh:mm:ss"/>
    </dxf>
    <dxf>
      <font>
        <strike val="0"/>
        <outline val="0"/>
        <shadow val="0"/>
        <u/>
        <vertAlign val="baseline"/>
        <sz val="11"/>
        <color theme="1"/>
        <name val="Aptos Narrow"/>
        <family val="2"/>
        <scheme val="minor"/>
      </font>
      <numFmt numFmtId="19" formatCode="dd/mm/yyyy"/>
    </dxf>
    <dxf>
      <font>
        <strike val="0"/>
        <outline val="0"/>
        <shadow val="0"/>
        <u/>
        <vertAlign val="baseline"/>
        <sz val="11"/>
        <color theme="1"/>
        <name val="Aptos Narrow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</dxf>
    <dxf>
      <numFmt numFmtId="30" formatCode="@"/>
    </dxf>
    <dxf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</dxf>
    <dxf>
      <numFmt numFmtId="30" formatCode="@"/>
    </dxf>
    <dxf>
      <numFmt numFmtId="30" formatCode="@"/>
    </dxf>
    <dxf>
      <numFmt numFmtId="168" formatCode="dd/mm/yyyy\ hh:mm:ss"/>
    </dxf>
  </dxfs>
  <tableStyles count="0" defaultTableStyle="TableStyleMedium2" defaultPivotStyle="PivotStyleLight16"/>
  <colors>
    <mruColors>
      <color rgb="FF54678E"/>
      <color rgb="FF001C54"/>
      <color rgb="FF5E5E5E"/>
      <color rgb="FFDDDDDD"/>
      <color rgb="FF0ED886"/>
      <color rgb="FF26BC83"/>
      <color rgb="FF2CD494"/>
      <color rgb="FF00D670"/>
      <color rgb="FF7F7F7F"/>
      <color rgb="FF00E67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54678E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PROGRESSO</a:t>
            </a:r>
            <a:r>
              <a:rPr lang="en-US" sz="1400" b="1" i="0" u="none" strike="noStrike" kern="1200" spc="0" baseline="0">
                <a:solidFill>
                  <a:srgbClr val="54678E"/>
                </a:solidFill>
              </a:rPr>
              <a:t> DA JORNADA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3115857392825898"/>
          <c:y val="0.21258583040565363"/>
          <c:w val="0.35157195975503064"/>
          <c:h val="0.7244512149777016"/>
        </c:manualLayout>
      </c:layout>
      <c:doughnutChart>
        <c:varyColors val="1"/>
        <c:ser>
          <c:idx val="0"/>
          <c:order val="0"/>
          <c:tx>
            <c:strRef>
              <c:f>AUXILIAR!$H$1</c:f>
              <c:strCache>
                <c:ptCount val="1"/>
                <c:pt idx="0">
                  <c:v>Valor</c:v>
                </c:pt>
              </c:strCache>
            </c:strRef>
          </c:tx>
          <c:spPr>
            <a:ln>
              <a:solidFill>
                <a:srgbClr val="F2F2F2"/>
              </a:solidFill>
            </a:ln>
          </c:spPr>
          <c:dPt>
            <c:idx val="0"/>
            <c:bubble3D val="0"/>
            <c:spPr>
              <a:solidFill>
                <a:srgbClr val="54678E"/>
              </a:solidFill>
              <a:ln w="19050">
                <a:solidFill>
                  <a:srgbClr val="F2F2F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5B2-43AD-A1F9-CA2DC364F5B1}"/>
              </c:ext>
            </c:extLst>
          </c:dPt>
          <c:dPt>
            <c:idx val="1"/>
            <c:bubble3D val="0"/>
            <c:spPr>
              <a:solidFill>
                <a:srgbClr val="DDDDDD"/>
              </a:solidFill>
              <a:ln w="19050">
                <a:solidFill>
                  <a:srgbClr val="F2F2F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5B2-43AD-A1F9-CA2DC364F5B1}"/>
              </c:ext>
            </c:extLst>
          </c:dPt>
          <c:cat>
            <c:strRef>
              <c:f>AUXILIAR!$G$2:$G$3</c:f>
              <c:strCache>
                <c:ptCount val="2"/>
                <c:pt idx="0">
                  <c:v>Realizado</c:v>
                </c:pt>
                <c:pt idx="1">
                  <c:v>Restante</c:v>
                </c:pt>
              </c:strCache>
            </c:strRef>
          </c:cat>
          <c:val>
            <c:numRef>
              <c:f>AUXILIAR!$H$2:$H$3</c:f>
              <c:numCache>
                <c:formatCode>[h]:mm</c:formatCode>
                <c:ptCount val="2"/>
                <c:pt idx="0">
                  <c:v>0</c:v>
                </c:pt>
                <c:pt idx="1">
                  <c:v>6.666666666666667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B2-43AD-A1F9-CA2DC364F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F2F2F2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lang="en-US" sz="1400" b="0" i="0" u="none" strike="noStrike" kern="1200" spc="0" baseline="0">
                <a:solidFill>
                  <a:srgbClr val="54678E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US" sz="1400" b="1" i="0" u="none" strike="noStrike" kern="1200" spc="0" baseline="0">
                <a:solidFill>
                  <a:srgbClr val="54678E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VOLUME DE HORAS</a:t>
            </a:r>
          </a:p>
        </c:rich>
      </c:tx>
      <c:layout>
        <c:manualLayout>
          <c:xMode val="edge"/>
          <c:yMode val="edge"/>
          <c:x val="0.30312725413236441"/>
          <c:y val="5.53991632082291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lang="en-US" sz="1400" b="0" i="0" u="none" strike="noStrike" kern="1200" spc="0" baseline="0">
              <a:solidFill>
                <a:srgbClr val="54678E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AUXILIAR!$K$1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rgbClr val="DDDDDD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DDDD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BC4-41BC-910A-99B399FD15E1}"/>
              </c:ext>
            </c:extLst>
          </c:dPt>
          <c:dLbls>
            <c:dLbl>
              <c:idx val="0"/>
              <c:layout>
                <c:manualLayout>
                  <c:x val="-0.11289710827624276"/>
                  <c:y val="0"/>
                </c:manualLayout>
              </c:layout>
              <c:tx>
                <c:rich>
                  <a:bodyPr/>
                  <a:lstStyle/>
                  <a:p>
                    <a:fld id="{AB1D3B6B-B984-4A78-A6BD-E29841651A1A}" type="VALUE">
                      <a:rPr lang="en-US">
                        <a:solidFill>
                          <a:srgbClr val="54678E"/>
                        </a:solidFill>
                      </a:rPr>
                      <a:pPr/>
                      <a:t>[VALOR]</a:t>
                    </a:fld>
                    <a:endParaRPr lang="en-US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2BC4-41BC-910A-99B399FD15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AUXILIAR!$J$2</c:f>
              <c:strCache>
                <c:ptCount val="1"/>
                <c:pt idx="0">
                  <c:v>Horas</c:v>
                </c:pt>
              </c:strCache>
            </c:strRef>
          </c:cat>
          <c:val>
            <c:numRef>
              <c:f>AUXILIAR!$K$2</c:f>
              <c:numCache>
                <c:formatCode>[h]:mm</c:formatCode>
                <c:ptCount val="1"/>
                <c:pt idx="0">
                  <c:v>6.666666666666667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C4-41BC-910A-99B399FD15E1}"/>
            </c:ext>
          </c:extLst>
        </c:ser>
        <c:ser>
          <c:idx val="1"/>
          <c:order val="1"/>
          <c:tx>
            <c:strRef>
              <c:f>AUXILIAR!$L$1</c:f>
              <c:strCache>
                <c:ptCount val="1"/>
                <c:pt idx="0">
                  <c:v>Realizado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54678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5B6-4239-9BDB-280C3B86B0A2}"/>
              </c:ext>
            </c:extLst>
          </c:dPt>
          <c:dLbls>
            <c:dLbl>
              <c:idx val="0"/>
              <c:layout>
                <c:manualLayout>
                  <c:x val="-0.12364921382636111"/>
                  <c:y val="5.8066088352811381E-3"/>
                </c:manualLayout>
              </c:layout>
              <c:tx>
                <c:rich>
                  <a:bodyPr/>
                  <a:lstStyle/>
                  <a:p>
                    <a:fld id="{9FDA806A-8FC5-4601-AEAC-05ADAFE03293}" type="VALUE">
                      <a:rPr lang="en-US" sz="1000" b="1">
                        <a:solidFill>
                          <a:schemeClr val="bg1"/>
                        </a:solidFill>
                      </a:rPr>
                      <a:pPr/>
                      <a:t>[VALOR]</a:t>
                    </a:fld>
                    <a:endParaRPr lang="en-US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85B6-4239-9BDB-280C3B86B0A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noFill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AUXILIAR!$J$2</c:f>
              <c:strCache>
                <c:ptCount val="1"/>
                <c:pt idx="0">
                  <c:v>Horas</c:v>
                </c:pt>
              </c:strCache>
            </c:strRef>
          </c:cat>
          <c:val>
            <c:numRef>
              <c:f>AUXILIAR!$L$2</c:f>
              <c:numCache>
                <c:formatCode>[h]:mm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71B-4308-A624-CD647581540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137080336"/>
        <c:axId val="1137087056"/>
      </c:barChart>
      <c:catAx>
        <c:axId val="11370803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087056"/>
        <c:crosses val="autoZero"/>
        <c:auto val="1"/>
        <c:lblAlgn val="ctr"/>
        <c:lblOffset val="100"/>
        <c:noMultiLvlLbl val="0"/>
      </c:catAx>
      <c:valAx>
        <c:axId val="1137087056"/>
        <c:scaling>
          <c:orientation val="minMax"/>
        </c:scaling>
        <c:delete val="1"/>
        <c:axPos val="b"/>
        <c:numFmt formatCode="[h]:mm" sourceLinked="1"/>
        <c:majorTickMark val="out"/>
        <c:minorTickMark val="none"/>
        <c:tickLblPos val="nextTo"/>
        <c:crossAx val="1137080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svg"/><Relationship Id="rId18" Type="http://schemas.openxmlformats.org/officeDocument/2006/relationships/image" Target="../media/image16.png"/><Relationship Id="rId26" Type="http://schemas.openxmlformats.org/officeDocument/2006/relationships/image" Target="../media/image24.svg"/><Relationship Id="rId3" Type="http://schemas.openxmlformats.org/officeDocument/2006/relationships/image" Target="../media/image3.png"/><Relationship Id="rId21" Type="http://schemas.openxmlformats.org/officeDocument/2006/relationships/image" Target="../media/image19.svg"/><Relationship Id="rId7" Type="http://schemas.openxmlformats.org/officeDocument/2006/relationships/chart" Target="../charts/chart1.xml"/><Relationship Id="rId12" Type="http://schemas.openxmlformats.org/officeDocument/2006/relationships/image" Target="../media/image11.png"/><Relationship Id="rId17" Type="http://schemas.openxmlformats.org/officeDocument/2006/relationships/image" Target="../media/image15.emf"/><Relationship Id="rId25" Type="http://schemas.openxmlformats.org/officeDocument/2006/relationships/image" Target="../media/image23.svg"/><Relationship Id="rId2" Type="http://schemas.openxmlformats.org/officeDocument/2006/relationships/image" Target="../media/image2.svg"/><Relationship Id="rId16" Type="http://schemas.openxmlformats.org/officeDocument/2006/relationships/image" Target="../media/image14.svg"/><Relationship Id="rId20" Type="http://schemas.openxmlformats.org/officeDocument/2006/relationships/image" Target="../media/image18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0.svg"/><Relationship Id="rId24" Type="http://schemas.openxmlformats.org/officeDocument/2006/relationships/image" Target="../media/image22.png"/><Relationship Id="rId5" Type="http://schemas.openxmlformats.org/officeDocument/2006/relationships/image" Target="../media/image5.png"/><Relationship Id="rId15" Type="http://schemas.openxmlformats.org/officeDocument/2006/relationships/image" Target="../media/image13.png"/><Relationship Id="rId23" Type="http://schemas.openxmlformats.org/officeDocument/2006/relationships/image" Target="../media/image21.svg"/><Relationship Id="rId10" Type="http://schemas.openxmlformats.org/officeDocument/2006/relationships/image" Target="../media/image9.png"/><Relationship Id="rId19" Type="http://schemas.openxmlformats.org/officeDocument/2006/relationships/image" Target="../media/image17.svg"/><Relationship Id="rId4" Type="http://schemas.openxmlformats.org/officeDocument/2006/relationships/image" Target="../media/image4.svg"/><Relationship Id="rId9" Type="http://schemas.openxmlformats.org/officeDocument/2006/relationships/image" Target="../media/image8.svg"/><Relationship Id="rId14" Type="http://schemas.openxmlformats.org/officeDocument/2006/relationships/chart" Target="../charts/chart2.xml"/><Relationship Id="rId22" Type="http://schemas.openxmlformats.org/officeDocument/2006/relationships/image" Target="../media/image20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352425</xdr:colOff>
      <xdr:row>6</xdr:row>
      <xdr:rowOff>95251</xdr:rowOff>
    </xdr:from>
    <xdr:to>
      <xdr:col>6</xdr:col>
      <xdr:colOff>556355</xdr:colOff>
      <xdr:row>11</xdr:row>
      <xdr:rowOff>77401</xdr:rowOff>
    </xdr:to>
    <xdr:sp macro="" textlink="">
      <xdr:nvSpPr>
        <xdr:cNvPr id="60" name="TextBox 31">
          <a:extLst>
            <a:ext uri="{FF2B5EF4-FFF2-40B4-BE49-F238E27FC236}">
              <a16:creationId xmlns:a16="http://schemas.microsoft.com/office/drawing/2014/main" id="{9D8639A0-617E-4EA0-831D-4E3C5B37929C}"/>
            </a:ext>
          </a:extLst>
        </xdr:cNvPr>
        <xdr:cNvSpPr txBox="1"/>
      </xdr:nvSpPr>
      <xdr:spPr>
        <a:xfrm>
          <a:off x="2790825" y="1238251"/>
          <a:ext cx="1423130" cy="9346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overflow" horzOverflow="overflow" wrap="square" lIns="90000" rtlCol="0" anchor="ctr" anchorCtr="0">
          <a:noAutofit/>
        </a:bodyPr>
        <a:lstStyle/>
        <a:p>
          <a:pPr algn="ctr"/>
          <a:r>
            <a:rPr lang="en-US" sz="1600" b="0" u="sng" baseline="0">
              <a:solidFill>
                <a:srgbClr val="54678E"/>
              </a:solidFill>
              <a:latin typeface="+mn-lt"/>
            </a:rPr>
            <a:t> </a:t>
          </a:r>
          <a:endParaRPr lang="en-US" sz="1600" b="0" u="sng">
            <a:solidFill>
              <a:srgbClr val="54678E"/>
            </a:solidFill>
            <a:latin typeface="+mn-lt"/>
          </a:endParaRPr>
        </a:p>
      </xdr:txBody>
    </xdr:sp>
    <xdr:clientData/>
  </xdr:twoCellAnchor>
  <xdr:twoCellAnchor>
    <xdr:from>
      <xdr:col>0</xdr:col>
      <xdr:colOff>297225</xdr:colOff>
      <xdr:row>25</xdr:row>
      <xdr:rowOff>57409</xdr:rowOff>
    </xdr:from>
    <xdr:to>
      <xdr:col>2</xdr:col>
      <xdr:colOff>188549</xdr:colOff>
      <xdr:row>26</xdr:row>
      <xdr:rowOff>150802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8A36E83F-CF84-DE69-33EC-C3123FB0FA9E}"/>
            </a:ext>
          </a:extLst>
        </xdr:cNvPr>
        <xdr:cNvGrpSpPr/>
      </xdr:nvGrpSpPr>
      <xdr:grpSpPr>
        <a:xfrm>
          <a:off x="297225" y="4896109"/>
          <a:ext cx="1110524" cy="283893"/>
          <a:chOff x="297225" y="4896109"/>
          <a:chExt cx="1110524" cy="283893"/>
        </a:xfrm>
      </xdr:grpSpPr>
      <xdr:sp macro="[0]!BTN_LIMPAR_FILTROS" textlink="">
        <xdr:nvSpPr>
          <xdr:cNvPr id="51" name="Rectangle: Rounded Corners 45">
            <a:extLst>
              <a:ext uri="{FF2B5EF4-FFF2-40B4-BE49-F238E27FC236}">
                <a16:creationId xmlns:a16="http://schemas.microsoft.com/office/drawing/2014/main" id="{DEB08FD0-2DFD-7F13-CDAC-246F0909DE3F}"/>
              </a:ext>
            </a:extLst>
          </xdr:cNvPr>
          <xdr:cNvSpPr>
            <a:spLocks/>
          </xdr:cNvSpPr>
        </xdr:nvSpPr>
        <xdr:spPr>
          <a:xfrm>
            <a:off x="297225" y="4896109"/>
            <a:ext cx="1110524" cy="283893"/>
          </a:xfrm>
          <a:prstGeom prst="roundRect">
            <a:avLst/>
          </a:prstGeom>
          <a:solidFill>
            <a:srgbClr val="ECECEC"/>
          </a:solidFill>
          <a:ln>
            <a:noFill/>
          </a:ln>
          <a:effectLst>
            <a:outerShdw blurRad="50800" dist="38100" dir="3600000" sx="103000" sy="103000" algn="bl" rotWithShape="0">
              <a:prstClr val="black">
                <a:alpha val="20000"/>
              </a:prstClr>
            </a:outerShdw>
            <a:reflection endPos="0" dist="50800" dir="5400000" sy="-100000" algn="bl" rotWithShape="0"/>
          </a:effectLst>
          <a:scene3d>
            <a:camera prst="orthographicFront"/>
            <a:lightRig rig="threePt" dir="t"/>
          </a:scene3d>
          <a:sp3d prstMaterial="translucentPowder"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solidFill>
                  <a:srgbClr val="2C364A"/>
                </a:solidFill>
              </a:rPr>
              <a:t>         Limpar Filtro</a:t>
            </a:r>
          </a:p>
        </xdr:txBody>
      </xdr:sp>
      <xdr:pic macro="[0]!BTN_LIMPAR_FILTROS">
        <xdr:nvPicPr>
          <xdr:cNvPr id="63" name="Gráfico 62" descr="Borracha com preenchimento sólido">
            <a:extLst>
              <a:ext uri="{FF2B5EF4-FFF2-40B4-BE49-F238E27FC236}">
                <a16:creationId xmlns:a16="http://schemas.microsoft.com/office/drawing/2014/main" id="{B1688965-D48A-C19E-6643-025832B0EE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7705" y="4932977"/>
            <a:ext cx="164592" cy="164592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485774</xdr:colOff>
      <xdr:row>39</xdr:row>
      <xdr:rowOff>161925</xdr:rowOff>
    </xdr:to>
    <xdr:grpSp>
      <xdr:nvGrpSpPr>
        <xdr:cNvPr id="59" name="Agrupar 58">
          <a:extLst>
            <a:ext uri="{FF2B5EF4-FFF2-40B4-BE49-F238E27FC236}">
              <a16:creationId xmlns:a16="http://schemas.microsoft.com/office/drawing/2014/main" id="{265DDBD4-6E83-6862-E511-E86134B43ED7}"/>
            </a:ext>
          </a:extLst>
        </xdr:cNvPr>
        <xdr:cNvGrpSpPr/>
      </xdr:nvGrpSpPr>
      <xdr:grpSpPr>
        <a:xfrm>
          <a:off x="0" y="0"/>
          <a:ext cx="1704974" cy="7667625"/>
          <a:chOff x="0" y="0"/>
          <a:chExt cx="1704974" cy="7667625"/>
        </a:xfrm>
      </xdr:grpSpPr>
      <xdr:sp macro="" textlink="">
        <xdr:nvSpPr>
          <xdr:cNvPr id="2" name="Retângulo 1">
            <a:extLst>
              <a:ext uri="{FF2B5EF4-FFF2-40B4-BE49-F238E27FC236}">
                <a16:creationId xmlns:a16="http://schemas.microsoft.com/office/drawing/2014/main" id="{0A3C067D-1993-D86D-69A5-7D8E9C638FAA}"/>
              </a:ext>
            </a:extLst>
          </xdr:cNvPr>
          <xdr:cNvSpPr/>
        </xdr:nvSpPr>
        <xdr:spPr>
          <a:xfrm>
            <a:off x="0" y="0"/>
            <a:ext cx="1704974" cy="7667625"/>
          </a:xfrm>
          <a:prstGeom prst="rect">
            <a:avLst/>
          </a:prstGeom>
          <a:solidFill>
            <a:srgbClr val="54678E"/>
          </a:solidFill>
          <a:ln>
            <a:solidFill>
              <a:srgbClr val="54678E"/>
            </a:solidFill>
          </a:ln>
          <a:effectLst>
            <a:outerShdw blurRad="139700" dist="63500" dir="1800000" algn="tl" rotWithShape="0">
              <a:schemeClr val="tx1">
                <a:lumMod val="50000"/>
                <a:lumOff val="50000"/>
                <a:alpha val="81000"/>
              </a:schemeClr>
            </a:outerShdw>
            <a:reflection endPos="0" dir="5400000" sy="-100000" algn="bl" rotWithShape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72000" tIns="324000" rIns="72000" rtlCol="0" anchor="ctr" anchorCtr="1"/>
          <a:lstStyle/>
          <a:p>
            <a:pPr marL="0" indent="0" algn="ctr"/>
            <a:endParaRPr lang="en-US" sz="2400" b="0" i="0" u="none" strike="noStrike">
              <a:solidFill>
                <a:srgbClr val="0066FF"/>
              </a:solidFill>
              <a:latin typeface="+mn-lt"/>
              <a:ea typeface="Microsoft Sans Serif" panose="020B0604020202020204" pitchFamily="34" charset="0"/>
              <a:cs typeface="Microsoft Sans Serif" panose="020B0604020202020204" pitchFamily="34" charset="0"/>
            </a:endParaRPr>
          </a:p>
        </xdr:txBody>
      </xdr:sp>
      <xdr:sp macro="[0]!BTN_CADASTRO" textlink="">
        <xdr:nvSpPr>
          <xdr:cNvPr id="39" name="Rectangle: Rounded Corners 6270">
            <a:extLst>
              <a:ext uri="{FF2B5EF4-FFF2-40B4-BE49-F238E27FC236}">
                <a16:creationId xmlns:a16="http://schemas.microsoft.com/office/drawing/2014/main" id="{75E68523-8711-4980-BA9C-AF70D5D3B0BA}"/>
              </a:ext>
            </a:extLst>
          </xdr:cNvPr>
          <xdr:cNvSpPr>
            <a:spLocks/>
          </xdr:cNvSpPr>
        </xdr:nvSpPr>
        <xdr:spPr>
          <a:xfrm>
            <a:off x="297225" y="2814571"/>
            <a:ext cx="1110524" cy="283893"/>
          </a:xfrm>
          <a:prstGeom prst="roundRect">
            <a:avLst/>
          </a:prstGeom>
          <a:solidFill>
            <a:srgbClr val="ECECEC"/>
          </a:solidFill>
          <a:ln>
            <a:noFill/>
          </a:ln>
          <a:effectLst>
            <a:outerShdw blurRad="50800" dist="38100" dir="3600000" sx="103000" sy="103000" algn="bl" rotWithShape="0">
              <a:prstClr val="black">
                <a:alpha val="20000"/>
              </a:prstClr>
            </a:outerShdw>
            <a:reflection endPos="0" dist="50800" dir="5400000" sy="-100000" algn="bl" rotWithShape="0"/>
          </a:effectLst>
          <a:scene3d>
            <a:camera prst="orthographicFront"/>
            <a:lightRig rig="threePt" dir="t"/>
          </a:scene3d>
          <a:sp3d prstMaterial="translucentPowder"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solidFill>
                  <a:srgbClr val="2C364A"/>
                </a:solidFill>
              </a:rPr>
              <a:t>     Cadastro</a:t>
            </a:r>
          </a:p>
        </xdr:txBody>
      </xdr:sp>
      <xdr:pic macro="[0]!BTN_CADASTRO">
        <xdr:nvPicPr>
          <xdr:cNvPr id="13" name="Graphic 6276" descr="Document with solid fill">
            <a:extLst>
              <a:ext uri="{FF2B5EF4-FFF2-40B4-BE49-F238E27FC236}">
                <a16:creationId xmlns:a16="http://schemas.microsoft.com/office/drawing/2014/main" id="{EA335FA9-4CFF-7D6F-A806-F5ABED023C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96989" y="2859902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566737</xdr:colOff>
      <xdr:row>2</xdr:row>
      <xdr:rowOff>95250</xdr:rowOff>
    </xdr:from>
    <xdr:to>
      <xdr:col>1</xdr:col>
      <xdr:colOff>528637</xdr:colOff>
      <xdr:row>5</xdr:row>
      <xdr:rowOff>95250</xdr:rowOff>
    </xdr:to>
    <xdr:pic>
      <xdr:nvPicPr>
        <xdr:cNvPr id="5" name="Gráfico 4" descr="Impressão digital estrutura de tópicos">
          <a:extLst>
            <a:ext uri="{FF2B5EF4-FFF2-40B4-BE49-F238E27FC236}">
              <a16:creationId xmlns:a16="http://schemas.microsoft.com/office/drawing/2014/main" id="{40074785-651B-BA9B-7467-3FDDBEE7F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66737" y="542925"/>
          <a:ext cx="571500" cy="571500"/>
        </a:xfrm>
        <a:prstGeom prst="rect">
          <a:avLst/>
        </a:prstGeom>
      </xdr:spPr>
    </xdr:pic>
    <xdr:clientData/>
  </xdr:twoCellAnchor>
  <xdr:twoCellAnchor>
    <xdr:from>
      <xdr:col>13</xdr:col>
      <xdr:colOff>432708</xdr:colOff>
      <xdr:row>9</xdr:row>
      <xdr:rowOff>140185</xdr:rowOff>
    </xdr:from>
    <xdr:to>
      <xdr:col>22</xdr:col>
      <xdr:colOff>114300</xdr:colOff>
      <xdr:row>21</xdr:row>
      <xdr:rowOff>180976</xdr:rowOff>
    </xdr:to>
    <xdr:grpSp>
      <xdr:nvGrpSpPr>
        <xdr:cNvPr id="58" name="Agrupar 57">
          <a:extLst>
            <a:ext uri="{FF2B5EF4-FFF2-40B4-BE49-F238E27FC236}">
              <a16:creationId xmlns:a16="http://schemas.microsoft.com/office/drawing/2014/main" id="{BF10C471-3AD1-2440-7CF3-920309844FEB}"/>
            </a:ext>
          </a:extLst>
        </xdr:cNvPr>
        <xdr:cNvGrpSpPr/>
      </xdr:nvGrpSpPr>
      <xdr:grpSpPr>
        <a:xfrm>
          <a:off x="8357508" y="1921360"/>
          <a:ext cx="5167992" cy="2336316"/>
          <a:chOff x="8357508" y="1921360"/>
          <a:chExt cx="5167992" cy="2336316"/>
        </a:xfrm>
      </xdr:grpSpPr>
      <xdr:sp macro="" textlink="">
        <xdr:nvSpPr>
          <xdr:cNvPr id="50" name="Rectangle 24">
            <a:extLst>
              <a:ext uri="{FF2B5EF4-FFF2-40B4-BE49-F238E27FC236}">
                <a16:creationId xmlns:a16="http://schemas.microsoft.com/office/drawing/2014/main" id="{CF1A0492-3243-6B8E-DE8E-7C7BEFAF4F9F}"/>
              </a:ext>
            </a:extLst>
          </xdr:cNvPr>
          <xdr:cNvSpPr/>
        </xdr:nvSpPr>
        <xdr:spPr>
          <a:xfrm>
            <a:off x="8357508" y="1921360"/>
            <a:ext cx="5167992" cy="2336316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139700" dist="63500" dir="1800000" algn="tl" rotWithShape="0">
              <a:schemeClr val="tx1">
                <a:lumMod val="50000"/>
                <a:lumOff val="50000"/>
                <a:alpha val="40000"/>
              </a:schemeClr>
            </a:outerShdw>
            <a:reflection endPos="0" dir="5400000" sy="-100000" algn="bl" rotWithShape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72000" tIns="324000" rIns="72000" rtlCol="0" anchor="ctr" anchorCtr="1"/>
          <a:lstStyle/>
          <a:p>
            <a:pPr algn="ctr"/>
            <a:r>
              <a:rPr lang="en-US" b="0" i="0" u="none" strike="noStrike">
                <a:ea typeface="Microsoft Sans Serif" panose="020B0604020202020204" pitchFamily="34" charset="0"/>
                <a:cs typeface="Microsoft Sans Serif" panose="020B0604020202020204" pitchFamily="34" charset="0"/>
              </a:rPr>
              <a:t> </a:t>
            </a:r>
          </a:p>
        </xdr:txBody>
      </xdr:sp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E6BF151E-D7BD-4508-9001-F90EE390A238}"/>
              </a:ext>
            </a:extLst>
          </xdr:cNvPr>
          <xdr:cNvGraphicFramePr>
            <a:graphicFrameLocks/>
          </xdr:cNvGraphicFramePr>
        </xdr:nvGraphicFramePr>
        <xdr:xfrm>
          <a:off x="8639815" y="2020197"/>
          <a:ext cx="4603376" cy="21386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AUXILIAR!B14">
        <xdr:nvSpPr>
          <xdr:cNvPr id="15" name="CaixaDeTexto 14">
            <a:extLst>
              <a:ext uri="{FF2B5EF4-FFF2-40B4-BE49-F238E27FC236}">
                <a16:creationId xmlns:a16="http://schemas.microsoft.com/office/drawing/2014/main" id="{9AB3153D-B022-7B0C-0479-B5285405BC19}"/>
              </a:ext>
            </a:extLst>
          </xdr:cNvPr>
          <xdr:cNvSpPr txBox="1"/>
        </xdr:nvSpPr>
        <xdr:spPr>
          <a:xfrm>
            <a:off x="10608128" y="2943225"/>
            <a:ext cx="725741" cy="6379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8C13D9B9-E244-45AA-8414-AAC37FA88F86}" type="TxLink">
              <a:rPr lang="en-US" sz="1400" b="1" i="0" u="none" strike="noStrike">
                <a:solidFill>
                  <a:srgbClr val="54678E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0,0%</a:t>
            </a:fld>
            <a:endParaRPr lang="en-US" sz="1800">
              <a:solidFill>
                <a:srgbClr val="54678E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13</xdr:col>
      <xdr:colOff>416028</xdr:colOff>
      <xdr:row>22</xdr:row>
      <xdr:rowOff>168760</xdr:rowOff>
    </xdr:from>
    <xdr:to>
      <xdr:col>17</xdr:col>
      <xdr:colOff>499929</xdr:colOff>
      <xdr:row>31</xdr:row>
      <xdr:rowOff>76201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0A94F9AC-A2E2-B378-B0EE-7C70D188F91B}"/>
            </a:ext>
          </a:extLst>
        </xdr:cNvPr>
        <xdr:cNvGrpSpPr/>
      </xdr:nvGrpSpPr>
      <xdr:grpSpPr>
        <a:xfrm>
          <a:off x="8340828" y="4435960"/>
          <a:ext cx="2522301" cy="1621941"/>
          <a:chOff x="8340828" y="4435960"/>
          <a:chExt cx="2522301" cy="1621941"/>
        </a:xfrm>
      </xdr:grpSpPr>
      <xdr:sp macro="" textlink="AUXILIAR!B10">
        <xdr:nvSpPr>
          <xdr:cNvPr id="52" name="Card_5">
            <a:extLst>
              <a:ext uri="{FF2B5EF4-FFF2-40B4-BE49-F238E27FC236}">
                <a16:creationId xmlns:a16="http://schemas.microsoft.com/office/drawing/2014/main" id="{FF7ED873-35D4-AFFD-65E6-776271AA98C4}"/>
              </a:ext>
            </a:extLst>
          </xdr:cNvPr>
          <xdr:cNvSpPr/>
        </xdr:nvSpPr>
        <xdr:spPr>
          <a:xfrm>
            <a:off x="8340828" y="4435960"/>
            <a:ext cx="2522301" cy="1621941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139700" dist="63500" dir="1800000" algn="tl" rotWithShape="0">
              <a:schemeClr val="tx1">
                <a:lumMod val="50000"/>
                <a:lumOff val="50000"/>
                <a:alpha val="40000"/>
              </a:schemeClr>
            </a:outerShdw>
            <a:reflection endPos="0" dir="5400000" sy="-100000" algn="bl" rotWithShape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72000" tIns="324000" rIns="72000" rtlCol="0" anchor="ctr" anchorCtr="1"/>
          <a:lstStyle/>
          <a:p>
            <a:pPr marL="0" indent="0" algn="ctr"/>
            <a:fld id="{3D362934-CB98-4DC2-A0F9-909A0A0E156B}" type="TxLink">
              <a:rPr lang="en-US" sz="1400" b="1" i="0" u="none" strike="noStrike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ea typeface="Microsoft Sans Serif" panose="020B0604020202020204" pitchFamily="34" charset="0"/>
                <a:cs typeface="Segoe UI" panose="020B0502040204020203" pitchFamily="34" charset="0"/>
              </a:rPr>
              <a:pPr marL="0" indent="0" algn="ctr"/>
              <a:t>0</a:t>
            </a:fld>
            <a:endParaRPr lang="en-US" sz="2800" b="0" i="0" u="none" strike="noStrike">
              <a:solidFill>
                <a:schemeClr val="bg1">
                  <a:lumMod val="50000"/>
                </a:schemeClr>
              </a:solidFill>
              <a:latin typeface="Segoe UI" panose="020B0502040204020203" pitchFamily="34" charset="0"/>
              <a:ea typeface="Microsoft Sans Serif" panose="020B0604020202020204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19" name="Graphic 9" descr="Newspaper with solid fill">
            <a:extLst>
              <a:ext uri="{FF2B5EF4-FFF2-40B4-BE49-F238E27FC236}">
                <a16:creationId xmlns:a16="http://schemas.microsoft.com/office/drawing/2014/main" id="{C40CD314-A194-F96A-379A-D5FC18603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8516130" y="4704592"/>
            <a:ext cx="369680" cy="367962"/>
          </a:xfrm>
          <a:prstGeom prst="rect">
            <a:avLst/>
          </a:prstGeom>
        </xdr:spPr>
      </xdr:pic>
      <xdr:sp macro="" textlink="">
        <xdr:nvSpPr>
          <xdr:cNvPr id="56" name="TextBox 11">
            <a:extLst>
              <a:ext uri="{FF2B5EF4-FFF2-40B4-BE49-F238E27FC236}">
                <a16:creationId xmlns:a16="http://schemas.microsoft.com/office/drawing/2014/main" id="{20CF48B0-65AE-0B6B-998D-3F3CE6538CE5}"/>
              </a:ext>
            </a:extLst>
          </xdr:cNvPr>
          <xdr:cNvSpPr txBox="1"/>
        </xdr:nvSpPr>
        <xdr:spPr>
          <a:xfrm>
            <a:off x="8986375" y="4756293"/>
            <a:ext cx="142997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overflow" horzOverflow="overflow" wrap="square" lIns="90000" rtlCol="0" anchor="ctr" anchorCtr="0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050" b="0" i="0" u="none" strike="noStrike" kern="0" cap="none" spc="0" normalizeH="0" baseline="0" noProof="0">
                <a:ln>
                  <a:noFill/>
                </a:ln>
                <a:solidFill>
                  <a:srgbClr val="54678E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Registros Incompletos</a:t>
            </a:r>
          </a:p>
        </xdr:txBody>
      </xdr:sp>
    </xdr:grpSp>
    <xdr:clientData/>
  </xdr:twoCellAnchor>
  <xdr:twoCellAnchor>
    <xdr:from>
      <xdr:col>18</xdr:col>
      <xdr:colOff>39924</xdr:colOff>
      <xdr:row>22</xdr:row>
      <xdr:rowOff>165585</xdr:rowOff>
    </xdr:from>
    <xdr:to>
      <xdr:col>22</xdr:col>
      <xdr:colOff>123825</xdr:colOff>
      <xdr:row>31</xdr:row>
      <xdr:rowOff>73026</xdr:rowOff>
    </xdr:to>
    <xdr:grpSp>
      <xdr:nvGrpSpPr>
        <xdr:cNvPr id="54" name="Agrupar 53">
          <a:extLst>
            <a:ext uri="{FF2B5EF4-FFF2-40B4-BE49-F238E27FC236}">
              <a16:creationId xmlns:a16="http://schemas.microsoft.com/office/drawing/2014/main" id="{A3010CEB-83C2-7C2D-7C0C-D9A19694AEA1}"/>
            </a:ext>
          </a:extLst>
        </xdr:cNvPr>
        <xdr:cNvGrpSpPr/>
      </xdr:nvGrpSpPr>
      <xdr:grpSpPr>
        <a:xfrm>
          <a:off x="11012724" y="4432785"/>
          <a:ext cx="2522301" cy="1621941"/>
          <a:chOff x="11012724" y="4432785"/>
          <a:chExt cx="2522301" cy="1621941"/>
        </a:xfrm>
      </xdr:grpSpPr>
      <xdr:sp macro="" textlink="AUXILIAR!B11">
        <xdr:nvSpPr>
          <xdr:cNvPr id="14" name="Card_6">
            <a:extLst>
              <a:ext uri="{FF2B5EF4-FFF2-40B4-BE49-F238E27FC236}">
                <a16:creationId xmlns:a16="http://schemas.microsoft.com/office/drawing/2014/main" id="{6459A907-7747-346D-BE0D-CEEDECA1E2BE}"/>
              </a:ext>
            </a:extLst>
          </xdr:cNvPr>
          <xdr:cNvSpPr/>
        </xdr:nvSpPr>
        <xdr:spPr>
          <a:xfrm>
            <a:off x="11012724" y="4432785"/>
            <a:ext cx="2522301" cy="1621941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139700" dist="63500" dir="1800000" algn="tl" rotWithShape="0">
              <a:schemeClr val="tx1">
                <a:lumMod val="50000"/>
                <a:lumOff val="50000"/>
                <a:alpha val="40000"/>
              </a:schemeClr>
            </a:outerShdw>
            <a:reflection endPos="0" dir="5400000" sy="-100000" algn="bl" rotWithShape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72000" tIns="324000" rIns="72000" rtlCol="0" anchor="ctr" anchorCtr="1"/>
          <a:lstStyle/>
          <a:p>
            <a:pPr marL="0" indent="0" algn="ctr"/>
            <a:fld id="{4C89FA45-6F50-4504-BDE6-2B375EEC540F}" type="TxLink">
              <a:rPr lang="en-US" sz="1400" b="1" i="0" u="none" strike="noStrike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ea typeface="Microsoft Sans Serif" panose="020B0604020202020204" pitchFamily="34" charset="0"/>
                <a:cs typeface="Segoe UI" panose="020B0502040204020203" pitchFamily="34" charset="0"/>
              </a:rPr>
              <a:pPr marL="0" indent="0" algn="ctr"/>
              <a:t>0</a:t>
            </a:fld>
            <a:endParaRPr lang="en-US" sz="2000" b="0" i="0" u="none" strike="noStrike">
              <a:solidFill>
                <a:schemeClr val="bg1">
                  <a:lumMod val="50000"/>
                </a:schemeClr>
              </a:solidFill>
              <a:latin typeface="Segoe UI" panose="020B0502040204020203" pitchFamily="34" charset="0"/>
              <a:ea typeface="Microsoft Sans Serif" panose="020B0604020202020204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25" name="Graphic 41" descr="Employee badge with solid fill">
            <a:extLst>
              <a:ext uri="{FF2B5EF4-FFF2-40B4-BE49-F238E27FC236}">
                <a16:creationId xmlns:a16="http://schemas.microsoft.com/office/drawing/2014/main" id="{D5940A0E-33EA-D54C-E007-51103917F3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1362444" y="4684150"/>
            <a:ext cx="410755" cy="408847"/>
          </a:xfrm>
          <a:prstGeom prst="rect">
            <a:avLst/>
          </a:prstGeom>
        </xdr:spPr>
      </xdr:pic>
      <xdr:sp macro="" textlink="">
        <xdr:nvSpPr>
          <xdr:cNvPr id="57" name="TextBox 11">
            <a:extLst>
              <a:ext uri="{FF2B5EF4-FFF2-40B4-BE49-F238E27FC236}">
                <a16:creationId xmlns:a16="http://schemas.microsoft.com/office/drawing/2014/main" id="{A0D2CF79-E009-9361-D555-FAEEECACB1D8}"/>
              </a:ext>
            </a:extLst>
          </xdr:cNvPr>
          <xdr:cNvSpPr txBox="1"/>
        </xdr:nvSpPr>
        <xdr:spPr>
          <a:xfrm>
            <a:off x="11771127" y="4756293"/>
            <a:ext cx="132471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overflow" horzOverflow="overflow" wrap="square" lIns="90000" rtlCol="0" anchor="ctr" anchorCtr="0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050" b="0" i="0" u="none" strike="noStrike" kern="0" cap="none" spc="0" normalizeH="0" baseline="0" noProof="0">
                <a:ln>
                  <a:noFill/>
                </a:ln>
                <a:solidFill>
                  <a:srgbClr val="54678E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 Funcionarios ativos</a:t>
            </a:r>
          </a:p>
        </xdr:txBody>
      </xdr:sp>
    </xdr:grpSp>
    <xdr:clientData/>
  </xdr:twoCellAnchor>
  <xdr:twoCellAnchor>
    <xdr:from>
      <xdr:col>4</xdr:col>
      <xdr:colOff>594965</xdr:colOff>
      <xdr:row>22</xdr:row>
      <xdr:rowOff>167172</xdr:rowOff>
    </xdr:from>
    <xdr:to>
      <xdr:col>9</xdr:col>
      <xdr:colOff>57984</xdr:colOff>
      <xdr:row>31</xdr:row>
      <xdr:rowOff>74613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0A4028C6-02E4-7621-1237-4B42285BEAEF}"/>
            </a:ext>
          </a:extLst>
        </xdr:cNvPr>
        <xdr:cNvGrpSpPr/>
      </xdr:nvGrpSpPr>
      <xdr:grpSpPr>
        <a:xfrm>
          <a:off x="3033365" y="4434372"/>
          <a:ext cx="2511019" cy="1621941"/>
          <a:chOff x="3033365" y="4434372"/>
          <a:chExt cx="2511019" cy="1621941"/>
        </a:xfrm>
      </xdr:grpSpPr>
      <xdr:sp macro="" textlink="AUXILIAR!B5">
        <xdr:nvSpPr>
          <xdr:cNvPr id="32" name="Card_3">
            <a:extLst>
              <a:ext uri="{FF2B5EF4-FFF2-40B4-BE49-F238E27FC236}">
                <a16:creationId xmlns:a16="http://schemas.microsoft.com/office/drawing/2014/main" id="{3631732C-7F43-826E-9245-E466B3FEDBC0}"/>
              </a:ext>
            </a:extLst>
          </xdr:cNvPr>
          <xdr:cNvSpPr/>
        </xdr:nvSpPr>
        <xdr:spPr>
          <a:xfrm>
            <a:off x="3033365" y="4434372"/>
            <a:ext cx="2511019" cy="1621941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139700" dist="63500" dir="1800000" algn="tl" rotWithShape="0">
              <a:schemeClr val="tx1">
                <a:lumMod val="50000"/>
                <a:lumOff val="50000"/>
                <a:alpha val="40000"/>
              </a:schemeClr>
            </a:outerShdw>
            <a:reflection endPos="0" dir="5400000" sy="-100000" algn="bl" rotWithShape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72000" tIns="324000" rIns="72000" rtlCol="0" anchor="ctr" anchorCtr="1"/>
          <a:lstStyle/>
          <a:p>
            <a:pPr marL="0" indent="0" algn="ctr"/>
            <a:fld id="{17D7F3B7-EEDA-4362-814E-C12CC2EBBC3F}" type="TxLink">
              <a:rPr lang="en-US" sz="1400" b="1" i="0" u="none" strike="noStrike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ea typeface="Microsoft Sans Serif" panose="020B0604020202020204" pitchFamily="34" charset="0"/>
                <a:cs typeface="Segoe UI" panose="020B0502040204020203" pitchFamily="34" charset="0"/>
              </a:rPr>
              <a:pPr marL="0" indent="0" algn="ctr"/>
              <a:t>0:00</a:t>
            </a:fld>
            <a:endParaRPr lang="en-US" sz="2800" b="1" i="0" u="none" strike="noStrike">
              <a:solidFill>
                <a:schemeClr val="bg1">
                  <a:lumMod val="50000"/>
                </a:schemeClr>
              </a:solidFill>
              <a:latin typeface="Segoe UI" panose="020B0502040204020203" pitchFamily="34" charset="0"/>
              <a:ea typeface="Microsoft Sans Serif" panose="020B0604020202020204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47" name="TextBox 11">
            <a:extLst>
              <a:ext uri="{FF2B5EF4-FFF2-40B4-BE49-F238E27FC236}">
                <a16:creationId xmlns:a16="http://schemas.microsoft.com/office/drawing/2014/main" id="{CE691FBA-12F1-557C-A136-B4168CF38319}"/>
              </a:ext>
            </a:extLst>
          </xdr:cNvPr>
          <xdr:cNvSpPr txBox="1"/>
        </xdr:nvSpPr>
        <xdr:spPr>
          <a:xfrm>
            <a:off x="3655827" y="4756293"/>
            <a:ext cx="132471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overflow" horzOverflow="overflow" wrap="square" lIns="90000" rtlCol="0" anchor="ctr" anchorCtr="0">
            <a:no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050" b="0" i="0" u="none" strike="noStrike" kern="0" cap="none" spc="0" normalizeH="0" baseline="0" noProof="0">
                <a:ln>
                  <a:noFill/>
                </a:ln>
                <a:solidFill>
                  <a:srgbClr val="54678E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Horas Trabalhadas</a:t>
            </a:r>
          </a:p>
        </xdr:txBody>
      </xdr:sp>
      <xdr:pic>
        <xdr:nvPicPr>
          <xdr:cNvPr id="49" name="Gráfico 48" descr="Maleta com preenchimento sólido">
            <a:extLst>
              <a:ext uri="{FF2B5EF4-FFF2-40B4-BE49-F238E27FC236}">
                <a16:creationId xmlns:a16="http://schemas.microsoft.com/office/drawing/2014/main" id="{ABB1E328-33BB-B26B-C713-ABF96D54FD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3262968" y="4704592"/>
            <a:ext cx="367962" cy="367962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590551</xdr:colOff>
      <xdr:row>6</xdr:row>
      <xdr:rowOff>76201</xdr:rowOff>
    </xdr:from>
    <xdr:to>
      <xdr:col>22</xdr:col>
      <xdr:colOff>133351</xdr:colOff>
      <xdr:row>9</xdr:row>
      <xdr:rowOff>66676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4D1550AA-4835-3883-650F-9AA0AA304DFD}"/>
            </a:ext>
          </a:extLst>
        </xdr:cNvPr>
        <xdr:cNvGrpSpPr/>
      </xdr:nvGrpSpPr>
      <xdr:grpSpPr>
        <a:xfrm>
          <a:off x="3028951" y="1285876"/>
          <a:ext cx="10515600" cy="561975"/>
          <a:chOff x="3000376" y="1095375"/>
          <a:chExt cx="10515600" cy="561975"/>
        </a:xfrm>
      </xdr:grpSpPr>
      <xdr:sp macro="" textlink="">
        <xdr:nvSpPr>
          <xdr:cNvPr id="62" name="Rectangle 12">
            <a:extLst>
              <a:ext uri="{FF2B5EF4-FFF2-40B4-BE49-F238E27FC236}">
                <a16:creationId xmlns:a16="http://schemas.microsoft.com/office/drawing/2014/main" id="{A4F175E6-2D27-447E-8B77-37CF8967B2AF}"/>
              </a:ext>
            </a:extLst>
          </xdr:cNvPr>
          <xdr:cNvSpPr/>
        </xdr:nvSpPr>
        <xdr:spPr>
          <a:xfrm>
            <a:off x="3000376" y="1095375"/>
            <a:ext cx="10515600" cy="561975"/>
          </a:xfrm>
          <a:prstGeom prst="rect">
            <a:avLst/>
          </a:prstGeom>
          <a:solidFill>
            <a:srgbClr val="54678E"/>
          </a:solidFill>
          <a:ln>
            <a:solidFill>
              <a:srgbClr val="54678E"/>
            </a:solidFill>
          </a:ln>
          <a:effectLst>
            <a:outerShdw blurRad="139700" dist="63500" dir="1800000" algn="tl" rotWithShape="0">
              <a:schemeClr val="tx1">
                <a:lumMod val="50000"/>
                <a:lumOff val="50000"/>
                <a:alpha val="81000"/>
              </a:schemeClr>
            </a:outerShdw>
            <a:reflection endPos="0" dir="5400000" sy="-100000" algn="bl" rotWithShape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72000" tIns="324000" rIns="72000" rtlCol="0" anchor="ctr" anchorCtr="1"/>
          <a:lstStyle/>
          <a:p>
            <a:pPr marL="0" indent="0" algn="ctr"/>
            <a:endParaRPr lang="en-US" sz="2400" b="0" i="0" u="none" strike="noStrike">
              <a:solidFill>
                <a:srgbClr val="0066FF"/>
              </a:solidFill>
              <a:latin typeface="+mn-lt"/>
              <a:ea typeface="Microsoft Sans Serif" panose="020B0604020202020204" pitchFamily="34" charset="0"/>
              <a:cs typeface="Microsoft Sans Serif" panose="020B0604020202020204" pitchFamily="34" charset="0"/>
            </a:endParaRPr>
          </a:p>
        </xdr:txBody>
      </xdr:sp>
      <xdr:sp macro="" textlink="">
        <xdr:nvSpPr>
          <xdr:cNvPr id="64" name="CaixaDeTexto 63">
            <a:extLst>
              <a:ext uri="{FF2B5EF4-FFF2-40B4-BE49-F238E27FC236}">
                <a16:creationId xmlns:a16="http://schemas.microsoft.com/office/drawing/2014/main" id="{4B55C659-AD65-A2BE-97AB-BEB4A49A40EC}"/>
              </a:ext>
            </a:extLst>
          </xdr:cNvPr>
          <xdr:cNvSpPr txBox="1"/>
        </xdr:nvSpPr>
        <xdr:spPr>
          <a:xfrm>
            <a:off x="3387049" y="1169761"/>
            <a:ext cx="1878126" cy="3560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6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SAÚDE DO PONTO</a:t>
            </a:r>
          </a:p>
        </xdr:txBody>
      </xdr:sp>
      <xdr:sp macro="" textlink="AUXILIAR!E1">
        <xdr:nvSpPr>
          <xdr:cNvPr id="16" name="CaixaDeTexto 15">
            <a:extLst>
              <a:ext uri="{FF2B5EF4-FFF2-40B4-BE49-F238E27FC236}">
                <a16:creationId xmlns:a16="http://schemas.microsoft.com/office/drawing/2014/main" id="{5BB76ABD-A5E9-10A5-5F38-A64579312F77}"/>
              </a:ext>
            </a:extLst>
          </xdr:cNvPr>
          <xdr:cNvSpPr txBox="1"/>
        </xdr:nvSpPr>
        <xdr:spPr>
          <a:xfrm>
            <a:off x="9222441" y="1217386"/>
            <a:ext cx="4147297" cy="3560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fld id="{24D69E40-2890-4E62-96D8-8115DC561391}" type="TxLink">
              <a:rPr lang="en-US" sz="1200" b="0" i="0" u="none" strike="noStrike">
                <a:solidFill>
                  <a:schemeClr val="bg1"/>
                </a:solidFill>
                <a:latin typeface="Aptos Narrow"/>
                <a:cs typeface="Segoe UI" panose="020B0502040204020203" pitchFamily="34" charset="0"/>
              </a:rPr>
              <a:pPr algn="ctr"/>
              <a:t>COLABORADOR: </a:t>
            </a:fld>
            <a:endParaRPr lang="en-US" sz="2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4</xdr:col>
      <xdr:colOff>573202</xdr:colOff>
      <xdr:row>9</xdr:row>
      <xdr:rowOff>152269</xdr:rowOff>
    </xdr:from>
    <xdr:to>
      <xdr:col>13</xdr:col>
      <xdr:colOff>273844</xdr:colOff>
      <xdr:row>21</xdr:row>
      <xdr:rowOff>168893</xdr:rowOff>
    </xdr:to>
    <xdr:grpSp>
      <xdr:nvGrpSpPr>
        <xdr:cNvPr id="48" name="Agrupar 47">
          <a:extLst>
            <a:ext uri="{FF2B5EF4-FFF2-40B4-BE49-F238E27FC236}">
              <a16:creationId xmlns:a16="http://schemas.microsoft.com/office/drawing/2014/main" id="{9C0C3DAD-8170-4133-54A7-59E59B8D290C}"/>
            </a:ext>
          </a:extLst>
        </xdr:cNvPr>
        <xdr:cNvGrpSpPr/>
      </xdr:nvGrpSpPr>
      <xdr:grpSpPr>
        <a:xfrm>
          <a:off x="3011602" y="1933444"/>
          <a:ext cx="5187042" cy="2312149"/>
          <a:chOff x="2983027" y="1736352"/>
          <a:chExt cx="5187042" cy="2312149"/>
        </a:xfrm>
      </xdr:grpSpPr>
      <xdr:sp macro="" textlink="">
        <xdr:nvSpPr>
          <xdr:cNvPr id="11" name="Rectangle 24">
            <a:extLst>
              <a:ext uri="{FF2B5EF4-FFF2-40B4-BE49-F238E27FC236}">
                <a16:creationId xmlns:a16="http://schemas.microsoft.com/office/drawing/2014/main" id="{87E98FBC-16C9-CBB1-EDD7-8F456E668840}"/>
              </a:ext>
            </a:extLst>
          </xdr:cNvPr>
          <xdr:cNvSpPr/>
        </xdr:nvSpPr>
        <xdr:spPr>
          <a:xfrm>
            <a:off x="2983027" y="1736352"/>
            <a:ext cx="5187042" cy="2312149"/>
          </a:xfrm>
          <a:prstGeom prst="rect">
            <a:avLst/>
          </a:prstGeom>
          <a:solidFill>
            <a:srgbClr val="F2F2F2"/>
          </a:solidFill>
          <a:ln>
            <a:noFill/>
          </a:ln>
          <a:effectLst>
            <a:outerShdw blurRad="139700" dist="63500" dir="1800000" algn="tl" rotWithShape="0">
              <a:schemeClr val="tx1">
                <a:lumMod val="50000"/>
                <a:lumOff val="50000"/>
                <a:alpha val="40000"/>
              </a:schemeClr>
            </a:outerShdw>
            <a:reflection endPos="0" dir="5400000" sy="-100000" algn="bl" rotWithShape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72000" tIns="324000" rIns="72000" rtlCol="0" anchor="ctr" anchorCtr="1"/>
          <a:lstStyle/>
          <a:p>
            <a:pPr algn="ctr"/>
            <a:r>
              <a:rPr lang="en-US" b="0" i="0" u="none" strike="noStrike">
                <a:ea typeface="Microsoft Sans Serif" panose="020B0604020202020204" pitchFamily="34" charset="0"/>
                <a:cs typeface="Microsoft Sans Serif" panose="020B0604020202020204" pitchFamily="34" charset="0"/>
              </a:rPr>
              <a:t> </a:t>
            </a:r>
          </a:p>
        </xdr:txBody>
      </xdr:sp>
      <xdr:graphicFrame macro="">
        <xdr:nvGraphicFramePr>
          <xdr:cNvPr id="40" name="Gráfico 39">
            <a:extLst>
              <a:ext uri="{FF2B5EF4-FFF2-40B4-BE49-F238E27FC236}">
                <a16:creationId xmlns:a16="http://schemas.microsoft.com/office/drawing/2014/main" id="{4C6BFD98-0B66-4247-BCF5-3A506582CDAB}"/>
              </a:ext>
            </a:extLst>
          </xdr:cNvPr>
          <xdr:cNvGraphicFramePr>
            <a:graphicFrameLocks/>
          </xdr:cNvGraphicFramePr>
        </xdr:nvGraphicFramePr>
        <xdr:xfrm>
          <a:off x="3234393" y="1781175"/>
          <a:ext cx="4724656" cy="21871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9</xdr:col>
      <xdr:colOff>217105</xdr:colOff>
      <xdr:row>22</xdr:row>
      <xdr:rowOff>163998</xdr:rowOff>
    </xdr:from>
    <xdr:to>
      <xdr:col>13</xdr:col>
      <xdr:colOff>275957</xdr:colOff>
      <xdr:row>31</xdr:row>
      <xdr:rowOff>71439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416AEB8B-DF9C-2AFC-6074-84CA61FE381E}"/>
            </a:ext>
          </a:extLst>
        </xdr:cNvPr>
        <xdr:cNvGrpSpPr/>
      </xdr:nvGrpSpPr>
      <xdr:grpSpPr>
        <a:xfrm>
          <a:off x="5703505" y="4431198"/>
          <a:ext cx="2497252" cy="1621941"/>
          <a:chOff x="5703505" y="4431198"/>
          <a:chExt cx="2497252" cy="1621941"/>
        </a:xfrm>
      </xdr:grpSpPr>
      <xdr:sp macro="" textlink="">
        <xdr:nvSpPr>
          <xdr:cNvPr id="22" name="Card_2">
            <a:extLst>
              <a:ext uri="{FF2B5EF4-FFF2-40B4-BE49-F238E27FC236}">
                <a16:creationId xmlns:a16="http://schemas.microsoft.com/office/drawing/2014/main" id="{06D33DBF-A7EC-EBF5-1C92-E64F89389816}"/>
              </a:ext>
            </a:extLst>
          </xdr:cNvPr>
          <xdr:cNvSpPr/>
        </xdr:nvSpPr>
        <xdr:spPr>
          <a:xfrm>
            <a:off x="5703505" y="4431198"/>
            <a:ext cx="2497252" cy="1621941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139700" dist="63500" dir="1800000" algn="tl" rotWithShape="0">
              <a:schemeClr val="tx1">
                <a:lumMod val="50000"/>
                <a:lumOff val="50000"/>
                <a:alpha val="40000"/>
              </a:schemeClr>
            </a:outerShdw>
            <a:reflection endPos="0" dir="5400000" sy="-100000" algn="bl" rotWithShape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72000" tIns="324000" rIns="72000" rtlCol="0" anchor="ctr" anchorCtr="1"/>
          <a:lstStyle/>
          <a:p>
            <a:pPr marL="0" indent="0" algn="ctr"/>
            <a:endParaRPr lang="en-US" sz="1400" b="1" i="0" u="none" strike="noStrike">
              <a:solidFill>
                <a:schemeClr val="bg1">
                  <a:lumMod val="50000"/>
                </a:schemeClr>
              </a:solidFill>
              <a:latin typeface="Segoe UI" panose="020B0502040204020203" pitchFamily="34" charset="0"/>
              <a:ea typeface="Microsoft Sans Serif" panose="020B0604020202020204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27" name="Graphic 6" descr="Stopwatch with solid fill">
            <a:extLst>
              <a:ext uri="{FF2B5EF4-FFF2-40B4-BE49-F238E27FC236}">
                <a16:creationId xmlns:a16="http://schemas.microsoft.com/office/drawing/2014/main" id="{8180DC6C-33B1-E571-1086-4EFC7468EC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5845693" y="4704592"/>
            <a:ext cx="344237" cy="367962"/>
          </a:xfrm>
          <a:prstGeom prst="rect">
            <a:avLst/>
          </a:prstGeom>
        </xdr:spPr>
      </xdr:pic>
      <xdr:sp macro="" textlink="">
        <xdr:nvSpPr>
          <xdr:cNvPr id="35" name="TextBox 11">
            <a:extLst>
              <a:ext uri="{FF2B5EF4-FFF2-40B4-BE49-F238E27FC236}">
                <a16:creationId xmlns:a16="http://schemas.microsoft.com/office/drawing/2014/main" id="{D58A6DF1-8FA5-2634-4E5F-710DD71F971D}"/>
              </a:ext>
            </a:extLst>
          </xdr:cNvPr>
          <xdr:cNvSpPr txBox="1"/>
        </xdr:nvSpPr>
        <xdr:spPr>
          <a:xfrm>
            <a:off x="6343019" y="4756293"/>
            <a:ext cx="123450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overflow" horzOverflow="overflow" wrap="square" lIns="90000" rtlCol="0" anchor="ctr" anchorCtr="0">
            <a:noAutofit/>
          </a:bodyPr>
          <a:lstStyle/>
          <a:p>
            <a:pPr algn="ctr"/>
            <a:r>
              <a:rPr lang="en-US" sz="1050" b="0">
                <a:solidFill>
                  <a:srgbClr val="54678E"/>
                </a:solidFill>
                <a:latin typeface="+mn-lt"/>
              </a:rPr>
              <a:t>Banco</a:t>
            </a:r>
            <a:r>
              <a:rPr lang="en-US" sz="1050" b="0" baseline="0">
                <a:solidFill>
                  <a:srgbClr val="54678E"/>
                </a:solidFill>
                <a:latin typeface="+mn-lt"/>
              </a:rPr>
              <a:t> de </a:t>
            </a:r>
            <a:r>
              <a:rPr lang="en-US" sz="1050" b="0">
                <a:solidFill>
                  <a:srgbClr val="54678E"/>
                </a:solidFill>
                <a:latin typeface="+mn-lt"/>
              </a:rPr>
              <a:t>Horas 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17" name="Imagem 16">
                <a:extLst>
                  <a:ext uri="{FF2B5EF4-FFF2-40B4-BE49-F238E27FC236}">
                    <a16:creationId xmlns:a16="http://schemas.microsoft.com/office/drawing/2014/main" id="{9B87B22D-867A-91D8-12C4-60BC6886BBA6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AUXILIAR!$B$9" spid="_x0000_s1189"/>
                  </a:ext>
                </a:extLst>
              </xdr:cNvPicPr>
            </xdr:nvPicPr>
            <xdr:blipFill rotWithShape="1">
              <a:blip xmlns:r="http://schemas.openxmlformats.org/officeDocument/2006/relationships" r:embed="rId17"/>
              <a:srcRect l="1335" r="1335"/>
              <a:stretch>
                <a:fillRect/>
              </a:stretch>
            </xdr:blipFill>
            <xdr:spPr bwMode="auto">
              <a:xfrm>
                <a:off x="5971056" y="5191125"/>
                <a:ext cx="1962150" cy="390525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</xdr:grpSp>
    <xdr:clientData/>
  </xdr:twoCellAnchor>
  <xdr:twoCellAnchor>
    <xdr:from>
      <xdr:col>1</xdr:col>
      <xdr:colOff>57150</xdr:colOff>
      <xdr:row>27</xdr:row>
      <xdr:rowOff>47625</xdr:rowOff>
    </xdr:from>
    <xdr:to>
      <xdr:col>1</xdr:col>
      <xdr:colOff>447675</xdr:colOff>
      <xdr:row>28</xdr:row>
      <xdr:rowOff>85725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DAC9E997-37A0-DD50-5745-C4D56D952928}"/>
            </a:ext>
          </a:extLst>
        </xdr:cNvPr>
        <xdr:cNvSpPr txBox="1"/>
      </xdr:nvSpPr>
      <xdr:spPr>
        <a:xfrm>
          <a:off x="666750" y="5267325"/>
          <a:ext cx="390525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>
              <a:solidFill>
                <a:srgbClr val="DDDDDD"/>
              </a:solidFill>
            </a:rPr>
            <a:t>v1.0</a:t>
          </a:r>
        </a:p>
      </xdr:txBody>
    </xdr:sp>
    <xdr:clientData/>
  </xdr:twoCellAnchor>
  <xdr:twoCellAnchor>
    <xdr:from>
      <xdr:col>0</xdr:col>
      <xdr:colOff>297225</xdr:colOff>
      <xdr:row>16</xdr:row>
      <xdr:rowOff>106679</xdr:rowOff>
    </xdr:from>
    <xdr:to>
      <xdr:col>2</xdr:col>
      <xdr:colOff>188549</xdr:colOff>
      <xdr:row>18</xdr:row>
      <xdr:rowOff>9572</xdr:rowOff>
    </xdr:to>
    <xdr:grpSp>
      <xdr:nvGrpSpPr>
        <xdr:cNvPr id="67" name="Agrupar 66">
          <a:extLst>
            <a:ext uri="{FF2B5EF4-FFF2-40B4-BE49-F238E27FC236}">
              <a16:creationId xmlns:a16="http://schemas.microsoft.com/office/drawing/2014/main" id="{C92224D2-68DE-0872-4584-08EB4DF153E3}"/>
            </a:ext>
          </a:extLst>
        </xdr:cNvPr>
        <xdr:cNvGrpSpPr/>
      </xdr:nvGrpSpPr>
      <xdr:grpSpPr>
        <a:xfrm>
          <a:off x="297225" y="3230879"/>
          <a:ext cx="1110524" cy="283893"/>
          <a:chOff x="297225" y="3230879"/>
          <a:chExt cx="1110524" cy="283893"/>
        </a:xfrm>
      </xdr:grpSpPr>
      <xdr:sp macro="[0]!BTN_CARREGAR_IMPORTACAO" textlink="">
        <xdr:nvSpPr>
          <xdr:cNvPr id="37" name="Rectangle: Rounded Corners 45">
            <a:extLst>
              <a:ext uri="{FF2B5EF4-FFF2-40B4-BE49-F238E27FC236}">
                <a16:creationId xmlns:a16="http://schemas.microsoft.com/office/drawing/2014/main" id="{F0877BAB-F1D3-42CD-A6A5-577580D0BFB9}"/>
              </a:ext>
            </a:extLst>
          </xdr:cNvPr>
          <xdr:cNvSpPr>
            <a:spLocks/>
          </xdr:cNvSpPr>
        </xdr:nvSpPr>
        <xdr:spPr>
          <a:xfrm>
            <a:off x="297225" y="3230879"/>
            <a:ext cx="1110524" cy="283893"/>
          </a:xfrm>
          <a:prstGeom prst="roundRect">
            <a:avLst/>
          </a:prstGeom>
          <a:solidFill>
            <a:srgbClr val="ECECEC"/>
          </a:solidFill>
          <a:ln>
            <a:noFill/>
          </a:ln>
          <a:effectLst>
            <a:outerShdw blurRad="50800" dist="38100" dir="3600000" sx="103000" sy="103000" algn="bl" rotWithShape="0">
              <a:prstClr val="black">
                <a:alpha val="20000"/>
              </a:prstClr>
            </a:outerShdw>
            <a:reflection endPos="0" dist="50800" dir="5400000" sy="-100000" algn="bl" rotWithShape="0"/>
          </a:effectLst>
          <a:scene3d>
            <a:camera prst="orthographicFront"/>
            <a:lightRig rig="threePt" dir="t"/>
          </a:scene3d>
          <a:sp3d prstMaterial="translucentPowder"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solidFill>
                  <a:srgbClr val="2C364A"/>
                </a:solidFill>
              </a:rPr>
              <a:t>      Importar</a:t>
            </a:r>
          </a:p>
        </xdr:txBody>
      </xdr:sp>
      <xdr:pic macro="[0]!Agrupar66_Clique">
        <xdr:nvPicPr>
          <xdr:cNvPr id="28" name="Gráfico 27" descr="Baixar da nuvem com preenchimento sólido">
            <a:extLst>
              <a:ext uri="{FF2B5EF4-FFF2-40B4-BE49-F238E27FC236}">
                <a16:creationId xmlns:a16="http://schemas.microsoft.com/office/drawing/2014/main" id="{06924D40-6FEB-9B2C-CB94-E97981856B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393706" y="3276910"/>
            <a:ext cx="164592" cy="164592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297225</xdr:colOff>
      <xdr:row>18</xdr:row>
      <xdr:rowOff>141987</xdr:rowOff>
    </xdr:from>
    <xdr:to>
      <xdr:col>2</xdr:col>
      <xdr:colOff>188549</xdr:colOff>
      <xdr:row>20</xdr:row>
      <xdr:rowOff>44880</xdr:rowOff>
    </xdr:to>
    <xdr:grpSp>
      <xdr:nvGrpSpPr>
        <xdr:cNvPr id="66" name="Agrupar 65">
          <a:extLst>
            <a:ext uri="{FF2B5EF4-FFF2-40B4-BE49-F238E27FC236}">
              <a16:creationId xmlns:a16="http://schemas.microsoft.com/office/drawing/2014/main" id="{0183A37F-4DFC-AA20-D100-22B92C75F00E}"/>
            </a:ext>
          </a:extLst>
        </xdr:cNvPr>
        <xdr:cNvGrpSpPr/>
      </xdr:nvGrpSpPr>
      <xdr:grpSpPr>
        <a:xfrm>
          <a:off x="297225" y="3647187"/>
          <a:ext cx="1110524" cy="283893"/>
          <a:chOff x="297225" y="3647187"/>
          <a:chExt cx="1110524" cy="283893"/>
        </a:xfrm>
      </xdr:grpSpPr>
      <xdr:sp macro="[0]!BTN_CONCILIAR" textlink="">
        <xdr:nvSpPr>
          <xdr:cNvPr id="7" name="Rectangle: Rounded Corners 45">
            <a:extLst>
              <a:ext uri="{FF2B5EF4-FFF2-40B4-BE49-F238E27FC236}">
                <a16:creationId xmlns:a16="http://schemas.microsoft.com/office/drawing/2014/main" id="{9FD1CEB2-9D18-9877-686A-195C423F2421}"/>
              </a:ext>
            </a:extLst>
          </xdr:cNvPr>
          <xdr:cNvSpPr>
            <a:spLocks/>
          </xdr:cNvSpPr>
        </xdr:nvSpPr>
        <xdr:spPr>
          <a:xfrm>
            <a:off x="297225" y="3647187"/>
            <a:ext cx="1110524" cy="283893"/>
          </a:xfrm>
          <a:prstGeom prst="roundRect">
            <a:avLst/>
          </a:prstGeom>
          <a:solidFill>
            <a:srgbClr val="ECECEC"/>
          </a:solidFill>
          <a:ln>
            <a:noFill/>
          </a:ln>
          <a:effectLst>
            <a:outerShdw blurRad="50800" dist="38100" dir="3600000" sx="103000" sy="103000" algn="bl" rotWithShape="0">
              <a:prstClr val="black">
                <a:alpha val="20000"/>
              </a:prstClr>
            </a:outerShdw>
            <a:reflection endPos="0" dist="50800" dir="5400000" sy="-100000" algn="bl" rotWithShape="0"/>
          </a:effectLst>
          <a:scene3d>
            <a:camera prst="orthographicFront"/>
            <a:lightRig rig="threePt" dir="t"/>
          </a:scene3d>
          <a:sp3d prstMaterial="translucentPowder"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solidFill>
                  <a:srgbClr val="2C364A"/>
                </a:solidFill>
              </a:rPr>
              <a:t>      Conciliar</a:t>
            </a:r>
          </a:p>
        </xdr:txBody>
      </xdr:sp>
      <xdr:pic macro="[0]!BTN_CONCILIAR">
        <xdr:nvPicPr>
          <xdr:cNvPr id="8" name="Gráfico 7" descr="Selo Tick1 com preenchimento sólido">
            <a:extLst>
              <a:ext uri="{FF2B5EF4-FFF2-40B4-BE49-F238E27FC236}">
                <a16:creationId xmlns:a16="http://schemas.microsoft.com/office/drawing/2014/main" id="{F9949925-D4AD-166C-5BF2-104C9C7EE6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392684" y="3699997"/>
            <a:ext cx="164592" cy="164592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297225</xdr:colOff>
      <xdr:row>20</xdr:row>
      <xdr:rowOff>177295</xdr:rowOff>
    </xdr:from>
    <xdr:to>
      <xdr:col>2</xdr:col>
      <xdr:colOff>188549</xdr:colOff>
      <xdr:row>22</xdr:row>
      <xdr:rowOff>80188</xdr:rowOff>
    </xdr:to>
    <xdr:grpSp>
      <xdr:nvGrpSpPr>
        <xdr:cNvPr id="65" name="Agrupar 64">
          <a:extLst>
            <a:ext uri="{FF2B5EF4-FFF2-40B4-BE49-F238E27FC236}">
              <a16:creationId xmlns:a16="http://schemas.microsoft.com/office/drawing/2014/main" id="{DF25AD93-0253-8F7E-E906-70388EC1882A}"/>
            </a:ext>
          </a:extLst>
        </xdr:cNvPr>
        <xdr:cNvGrpSpPr/>
      </xdr:nvGrpSpPr>
      <xdr:grpSpPr>
        <a:xfrm>
          <a:off x="297225" y="4063495"/>
          <a:ext cx="1110524" cy="283893"/>
          <a:chOff x="297225" y="4063495"/>
          <a:chExt cx="1110524" cy="283893"/>
        </a:xfrm>
      </xdr:grpSpPr>
      <xdr:sp macro="[0]!IMPRESSAO_INDIVIDUAL" textlink="">
        <xdr:nvSpPr>
          <xdr:cNvPr id="9" name="Rectangle: Rounded Corners 45">
            <a:extLst>
              <a:ext uri="{FF2B5EF4-FFF2-40B4-BE49-F238E27FC236}">
                <a16:creationId xmlns:a16="http://schemas.microsoft.com/office/drawing/2014/main" id="{AEA08DE8-3F3D-3B39-1929-5E5B202AA52E}"/>
              </a:ext>
            </a:extLst>
          </xdr:cNvPr>
          <xdr:cNvSpPr>
            <a:spLocks/>
          </xdr:cNvSpPr>
        </xdr:nvSpPr>
        <xdr:spPr>
          <a:xfrm>
            <a:off x="297225" y="4063495"/>
            <a:ext cx="1110524" cy="283893"/>
          </a:xfrm>
          <a:prstGeom prst="roundRect">
            <a:avLst/>
          </a:prstGeom>
          <a:solidFill>
            <a:srgbClr val="ECECEC"/>
          </a:solidFill>
          <a:ln>
            <a:noFill/>
          </a:ln>
          <a:effectLst>
            <a:outerShdw blurRad="50800" dist="38100" dir="3600000" sx="103000" sy="103000" algn="bl" rotWithShape="0">
              <a:prstClr val="black">
                <a:alpha val="20000"/>
              </a:prstClr>
            </a:outerShdw>
            <a:reflection endPos="0" dist="50800" dir="5400000" sy="-100000" algn="bl" rotWithShape="0"/>
          </a:effectLst>
          <a:scene3d>
            <a:camera prst="orthographicFront"/>
            <a:lightRig rig="threePt" dir="t"/>
          </a:scene3d>
          <a:sp3d prstMaterial="translucentPowder"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solidFill>
                  <a:srgbClr val="2C364A"/>
                </a:solidFill>
              </a:rPr>
              <a:t>        Impressão</a:t>
            </a:r>
          </a:p>
        </xdr:txBody>
      </xdr:sp>
      <xdr:pic macro="[0]!IMPRESSAO_INDIVIDUAL">
        <xdr:nvPicPr>
          <xdr:cNvPr id="12" name="Gráfico 11" descr="Fax com preenchimento sólido">
            <a:extLst>
              <a:ext uri="{FF2B5EF4-FFF2-40B4-BE49-F238E27FC236}">
                <a16:creationId xmlns:a16="http://schemas.microsoft.com/office/drawing/2014/main" id="{3CA3E8E4-F862-509E-4ED6-373A3D3EB5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402883" y="4123377"/>
            <a:ext cx="164592" cy="164592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297225</xdr:colOff>
      <xdr:row>23</xdr:row>
      <xdr:rowOff>22103</xdr:rowOff>
    </xdr:from>
    <xdr:to>
      <xdr:col>2</xdr:col>
      <xdr:colOff>188549</xdr:colOff>
      <xdr:row>24</xdr:row>
      <xdr:rowOff>115496</xdr:rowOff>
    </xdr:to>
    <xdr:grpSp>
      <xdr:nvGrpSpPr>
        <xdr:cNvPr id="61" name="Agrupar 60">
          <a:extLst>
            <a:ext uri="{FF2B5EF4-FFF2-40B4-BE49-F238E27FC236}">
              <a16:creationId xmlns:a16="http://schemas.microsoft.com/office/drawing/2014/main" id="{6F0A59AF-36BC-C1BA-ADC9-0600C3183CD3}"/>
            </a:ext>
          </a:extLst>
        </xdr:cNvPr>
        <xdr:cNvGrpSpPr/>
      </xdr:nvGrpSpPr>
      <xdr:grpSpPr>
        <a:xfrm>
          <a:off x="297225" y="4479803"/>
          <a:ext cx="1110524" cy="283893"/>
          <a:chOff x="297225" y="4479803"/>
          <a:chExt cx="1110524" cy="283893"/>
        </a:xfrm>
      </xdr:grpSpPr>
      <xdr:sp macro="[0]!IMPRESSAO_LOTE" textlink="">
        <xdr:nvSpPr>
          <xdr:cNvPr id="21" name="Rectangle: Rounded Corners 45">
            <a:extLst>
              <a:ext uri="{FF2B5EF4-FFF2-40B4-BE49-F238E27FC236}">
                <a16:creationId xmlns:a16="http://schemas.microsoft.com/office/drawing/2014/main" id="{F3678561-265A-96A7-564B-FA84A0525C23}"/>
              </a:ext>
            </a:extLst>
          </xdr:cNvPr>
          <xdr:cNvSpPr>
            <a:spLocks/>
          </xdr:cNvSpPr>
        </xdr:nvSpPr>
        <xdr:spPr>
          <a:xfrm>
            <a:off x="297225" y="4479803"/>
            <a:ext cx="1110524" cy="283893"/>
          </a:xfrm>
          <a:prstGeom prst="roundRect">
            <a:avLst/>
          </a:prstGeom>
          <a:solidFill>
            <a:srgbClr val="ECECEC"/>
          </a:solidFill>
          <a:ln>
            <a:noFill/>
          </a:ln>
          <a:effectLst>
            <a:outerShdw blurRad="50800" dist="38100" dir="3600000" sx="103000" sy="103000" algn="bl" rotWithShape="0">
              <a:prstClr val="black">
                <a:alpha val="20000"/>
              </a:prstClr>
            </a:outerShdw>
            <a:reflection endPos="0" dist="50800" dir="5400000" sy="-100000" algn="bl" rotWithShape="0"/>
          </a:effectLst>
          <a:scene3d>
            <a:camera prst="orthographicFront"/>
            <a:lightRig rig="threePt" dir="t"/>
          </a:scene3d>
          <a:sp3d prstMaterial="translucentPowder"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solidFill>
                  <a:srgbClr val="2C364A"/>
                </a:solidFill>
              </a:rPr>
              <a:t>       Gerar</a:t>
            </a:r>
            <a:r>
              <a:rPr lang="en-US" sz="1050" b="0" baseline="0">
                <a:solidFill>
                  <a:srgbClr val="2C364A"/>
                </a:solidFill>
              </a:rPr>
              <a:t> </a:t>
            </a:r>
            <a:r>
              <a:rPr lang="en-US" sz="1050" b="0">
                <a:solidFill>
                  <a:srgbClr val="2C364A"/>
                </a:solidFill>
              </a:rPr>
              <a:t>Lote</a:t>
            </a:r>
          </a:p>
        </xdr:txBody>
      </xdr:sp>
      <xdr:pic>
        <xdr:nvPicPr>
          <xdr:cNvPr id="31" name="Gráfico 30" descr="Impressora com preenchimento sólido">
            <a:extLst>
              <a:ext uri="{FF2B5EF4-FFF2-40B4-BE49-F238E27FC236}">
                <a16:creationId xmlns:a16="http://schemas.microsoft.com/office/drawing/2014/main" id="{B5E2F2D2-10ED-16C0-B1F4-1FBB059228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96DAC541-7B7A-43D3-8B79-37D633B846F1}">
                <asvg:svgBlip xmlns:asvg="http://schemas.microsoft.com/office/drawing/2016/SVG/main" r:embed="rId25"/>
              </a:ext>
            </a:extLst>
          </a:blip>
          <a:stretch>
            <a:fillRect/>
          </a:stretch>
        </xdr:blipFill>
        <xdr:spPr>
          <a:xfrm>
            <a:off x="402178" y="4528176"/>
            <a:ext cx="164592" cy="164592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297225</xdr:colOff>
      <xdr:row>25</xdr:row>
      <xdr:rowOff>88778</xdr:rowOff>
    </xdr:from>
    <xdr:to>
      <xdr:col>2</xdr:col>
      <xdr:colOff>188549</xdr:colOff>
      <xdr:row>26</xdr:row>
      <xdr:rowOff>182171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4B794817-AEBF-1C73-82F3-B0B06D60B0B7}"/>
            </a:ext>
          </a:extLst>
        </xdr:cNvPr>
        <xdr:cNvGrpSpPr/>
      </xdr:nvGrpSpPr>
      <xdr:grpSpPr>
        <a:xfrm>
          <a:off x="297225" y="4927478"/>
          <a:ext cx="1110524" cy="283893"/>
          <a:chOff x="297225" y="4927478"/>
          <a:chExt cx="1110524" cy="283893"/>
        </a:xfrm>
      </xdr:grpSpPr>
      <xdr:sp macro="[0]!BTN_LIMPAR_FILTROS" textlink="">
        <xdr:nvSpPr>
          <xdr:cNvPr id="4" name="Rectangle: Rounded Corners 45">
            <a:extLst>
              <a:ext uri="{FF2B5EF4-FFF2-40B4-BE49-F238E27FC236}">
                <a16:creationId xmlns:a16="http://schemas.microsoft.com/office/drawing/2014/main" id="{F47566D6-2628-6DC1-23B8-6093805DA801}"/>
              </a:ext>
            </a:extLst>
          </xdr:cNvPr>
          <xdr:cNvSpPr>
            <a:spLocks/>
          </xdr:cNvSpPr>
        </xdr:nvSpPr>
        <xdr:spPr>
          <a:xfrm>
            <a:off x="297225" y="4927478"/>
            <a:ext cx="1110524" cy="283893"/>
          </a:xfrm>
          <a:prstGeom prst="roundRect">
            <a:avLst/>
          </a:prstGeom>
          <a:solidFill>
            <a:srgbClr val="ECECEC"/>
          </a:solidFill>
          <a:ln>
            <a:noFill/>
          </a:ln>
          <a:effectLst>
            <a:outerShdw blurRad="50800" dist="38100" dir="3600000" sx="103000" sy="103000" algn="bl" rotWithShape="0">
              <a:prstClr val="black">
                <a:alpha val="20000"/>
              </a:prstClr>
            </a:outerShdw>
            <a:reflection endPos="0" dist="50800" dir="5400000" sy="-100000" algn="bl" rotWithShape="0"/>
          </a:effectLst>
          <a:scene3d>
            <a:camera prst="orthographicFront"/>
            <a:lightRig rig="threePt" dir="t"/>
          </a:scene3d>
          <a:sp3d prstMaterial="translucentPowder"/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solidFill>
                  <a:srgbClr val="2C364A"/>
                </a:solidFill>
              </a:rPr>
              <a:t>       Limpar</a:t>
            </a:r>
            <a:r>
              <a:rPr lang="en-US" sz="1050" b="0" baseline="0">
                <a:solidFill>
                  <a:srgbClr val="2C364A"/>
                </a:solidFill>
              </a:rPr>
              <a:t> Filtro</a:t>
            </a:r>
            <a:endParaRPr lang="en-US" sz="1050" b="0">
              <a:solidFill>
                <a:srgbClr val="2C364A"/>
              </a:solidFill>
            </a:endParaRPr>
          </a:p>
        </xdr:txBody>
      </xdr:sp>
      <xdr:pic>
        <xdr:nvPicPr>
          <xdr:cNvPr id="30" name="Gráfico 29" descr="Borracha com preenchimento sólido">
            <a:extLst>
              <a:ext uri="{FF2B5EF4-FFF2-40B4-BE49-F238E27FC236}">
                <a16:creationId xmlns:a16="http://schemas.microsoft.com/office/drawing/2014/main" id="{C561743E-FCCF-9D3A-011A-E7B6D3CA6D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6"/>
              </a:ext>
            </a:extLst>
          </a:blip>
          <a:stretch>
            <a:fillRect/>
          </a:stretch>
        </xdr:blipFill>
        <xdr:spPr>
          <a:xfrm>
            <a:off x="400050" y="4981575"/>
            <a:ext cx="164592" cy="164592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37FC274-EFB4-4E89-8694-E1C049183969}" name="tbl_import" displayName="tbl_import" ref="A1:C2" insertRow="1" totalsRowShown="0">
  <autoFilter ref="A1:C2" xr:uid="{437FC274-EFB4-4E89-8694-E1C049183969}"/>
  <tableColumns count="3">
    <tableColumn id="1" xr3:uid="{E11564B9-3A20-45C8-AD63-2DBA8161FE43}" name="Timestamp" dataDxfId="24"/>
    <tableColumn id="2" xr3:uid="{64B42236-FC66-47FF-A040-30F78C136783}" name="Matricula" dataDxfId="23"/>
    <tableColumn id="3" xr3:uid="{FEFB96DD-0DFB-4EB5-89ED-A78DEE5E9659}" name="Unid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25285E-B0ED-4B60-867C-940A4746A1D6}" name="tbl_Funcionarios" displayName="tbl_Funcionarios" ref="A1:E2" insertRow="1" totalsRowShown="0" headerRowDxfId="22">
  <autoFilter ref="A1:E2" xr:uid="{3025285E-B0ED-4B60-867C-940A4746A1D6}"/>
  <tableColumns count="5">
    <tableColumn id="1" xr3:uid="{18B53FD8-871B-4252-81E4-30CEFBE9451B}" name="Matricula" dataDxfId="21"/>
    <tableColumn id="2" xr3:uid="{A49433C3-681D-471F-ABA0-801B952BE2E3}" name="Nome" dataDxfId="20"/>
    <tableColumn id="3" xr3:uid="{A363E20D-59A8-4295-B273-3D9C891A5488}" name="Cargo" dataDxfId="19"/>
    <tableColumn id="4" xr3:uid="{24CF967B-2F02-42B1-B860-9687F6138E30}" name="Unidade" dataDxfId="18"/>
    <tableColumn id="5" xr3:uid="{F7A173B2-95CD-4D96-80AE-D2B1CFC62223}" name="Status" dataDxfId="1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DF96D20-D2AD-4852-B80E-80EAF081F0A0}" name="Tabela6" displayName="Tabela6" ref="A1:D2" insertRow="1" totalsRowShown="0" dataDxfId="16">
  <autoFilter ref="A1:D2" xr:uid="{9DF96D20-D2AD-4852-B80E-80EAF081F0A0}"/>
  <tableColumns count="4">
    <tableColumn id="1" xr3:uid="{A9D13193-BFC2-40C4-B1F5-4D944EE5BA01}" name="Data" dataDxfId="15"/>
    <tableColumn id="2" xr3:uid="{E1BB11E7-60B7-4EAE-8B78-65E18652975A}" name="Hora" dataDxfId="14"/>
    <tableColumn id="3" xr3:uid="{1FD5FEBA-B324-4D50-9950-16C4E3F6C305}" name="Matricula" dataDxfId="13"/>
    <tableColumn id="4" xr3:uid="{545D37AF-74DD-4E73-99D3-E1ADBB2697EB}" name="Unidade" dataDxfId="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2465D1F-0837-40CC-8730-32ADF74F5BCC}" name="tbl_Jornada" displayName="tbl_Jornada" ref="A1:M2" insertRow="1" totalsRowShown="0">
  <autoFilter ref="A1:M2" xr:uid="{32465D1F-0837-40CC-8730-32ADF74F5BCC}"/>
  <tableColumns count="13">
    <tableColumn id="1" xr3:uid="{C76ED1D1-69A1-4A84-BB25-979C99974986}" name="Data" dataDxfId="11"/>
    <tableColumn id="2" xr3:uid="{A45335FA-979D-41A9-A80E-6363EFC9F1AE}" name="Matricula" dataDxfId="10"/>
    <tableColumn id="3" xr3:uid="{0328D71A-3BDC-4CA8-A7D8-6F842166F796}" name="Unidade"/>
    <tableColumn id="4" xr3:uid="{D0698686-A804-4135-BCF2-B7FFC1C11BC8}" name="Batida1" dataDxfId="9"/>
    <tableColumn id="5" xr3:uid="{27B426DD-7445-4B7B-938D-71130D270E2D}" name="Batida2" dataDxfId="8"/>
    <tableColumn id="6" xr3:uid="{C41FE7AE-0D7A-474E-A80D-66A8BF1F2118}" name="Batida3" dataDxfId="7"/>
    <tableColumn id="7" xr3:uid="{31E2185F-0F54-49D2-9CC3-16D5B8CD76A2}" name="Batida4" dataDxfId="6"/>
    <tableColumn id="8" xr3:uid="{923D6A5B-8523-4B1B-88CA-3B48A83F6812}" name="TotalHoras" dataDxfId="5"/>
    <tableColumn id="9" xr3:uid="{A1848CF8-41FB-44AD-8361-F0E9BB8E226F}" name="Status"/>
    <tableColumn id="10" xr3:uid="{DDAE6F5D-0DA0-4BF9-ABF5-D4FBE1DF93B2}" name="HorasExtras" dataDxfId="4"/>
    <tableColumn id="11" xr3:uid="{636162FF-79B8-4BD7-85C2-27155C56E0AF}" name="HorasDeficit" dataDxfId="3"/>
    <tableColumn id="12" xr3:uid="{EE699527-A0DA-4D05-906F-0135BEA454D0}" name="Mes" dataDxfId="2"/>
    <tableColumn id="13" xr3:uid="{37F7CB7C-07F6-4E5C-B5B7-0F1F058CF6CB}" name="An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BD426-93CF-41AB-9D61-ED84C3F70EEA}">
  <sheetPr codeName="Planilha1">
    <tabColor rgb="FF54678E"/>
    <pageSetUpPr fitToPage="1"/>
  </sheetPr>
  <dimension ref="A1:BM41"/>
  <sheetViews>
    <sheetView showGridLines="0" showRowColHeaders="0" tabSelected="1" zoomScaleNormal="100" workbookViewId="0">
      <selection activeCell="P37" sqref="P37"/>
    </sheetView>
  </sheetViews>
  <sheetFormatPr defaultRowHeight="15"/>
  <cols>
    <col min="1" max="16" width="9.140625" style="1"/>
    <col min="17" max="17" width="9.140625" style="1" customWidth="1"/>
    <col min="18" max="65" width="9.140625" style="1"/>
  </cols>
  <sheetData>
    <row r="1" spans="2:27" ht="20.25" customHeight="1">
      <c r="F1" s="5"/>
    </row>
    <row r="2" spans="2:27">
      <c r="E2" s="9"/>
      <c r="H2" s="9"/>
      <c r="I2" s="9"/>
      <c r="J2" s="9"/>
      <c r="K2" s="9"/>
      <c r="M2" s="9"/>
      <c r="N2" s="5"/>
      <c r="P2" s="5"/>
      <c r="Q2" s="5"/>
      <c r="V2" s="24" t="s">
        <v>14</v>
      </c>
      <c r="W2" s="60"/>
    </row>
    <row r="3" spans="2:27">
      <c r="E3" s="11" t="s">
        <v>10</v>
      </c>
      <c r="G3" s="9"/>
      <c r="H3" s="9"/>
      <c r="I3" s="9"/>
      <c r="J3" s="5"/>
      <c r="L3" s="9"/>
      <c r="M3" s="9"/>
      <c r="N3" s="9"/>
      <c r="O3" s="9"/>
      <c r="S3" s="9"/>
      <c r="V3" s="24" t="s">
        <v>13</v>
      </c>
      <c r="W3" s="61"/>
    </row>
    <row r="4" spans="2:27">
      <c r="C4" s="9"/>
      <c r="D4" s="9"/>
      <c r="F4" s="5"/>
      <c r="H4" s="9"/>
      <c r="J4" s="9"/>
      <c r="K4" s="9"/>
      <c r="L4" s="9"/>
      <c r="M4" s="9"/>
      <c r="P4" s="5"/>
      <c r="S4" s="9"/>
      <c r="V4" s="24" t="s">
        <v>12</v>
      </c>
      <c r="W4" s="89"/>
    </row>
    <row r="5" spans="2:27">
      <c r="D5" s="5"/>
      <c r="H5" s="5"/>
      <c r="I5" s="5"/>
      <c r="L5" s="5"/>
      <c r="O5" s="9"/>
    </row>
    <row r="6" spans="2:27">
      <c r="D6" s="5"/>
      <c r="E6" s="9"/>
    </row>
    <row r="7" spans="2:27">
      <c r="B7" s="9"/>
      <c r="D7" s="9"/>
      <c r="X7" s="5"/>
    </row>
    <row r="8" spans="2:27">
      <c r="J8" s="5"/>
      <c r="K8" s="5"/>
      <c r="W8" s="5"/>
    </row>
    <row r="9" spans="2:27">
      <c r="E9" s="5"/>
      <c r="X9" s="9"/>
    </row>
    <row r="10" spans="2:27">
      <c r="D10" s="9"/>
      <c r="E10" s="9"/>
      <c r="J10" s="5"/>
      <c r="X10" s="5"/>
    </row>
    <row r="11" spans="2:27">
      <c r="D11" s="9"/>
      <c r="E11" s="5"/>
      <c r="X11" s="5"/>
      <c r="Y11" s="9"/>
    </row>
    <row r="12" spans="2:27" ht="15.75">
      <c r="D12" s="5"/>
      <c r="H12" s="5"/>
      <c r="X12" s="9"/>
      <c r="AA12" s="44"/>
    </row>
    <row r="13" spans="2:27">
      <c r="D13" s="5"/>
      <c r="N13" s="5"/>
      <c r="W13" s="9"/>
    </row>
    <row r="14" spans="2:27">
      <c r="C14" s="5"/>
      <c r="K14" s="5"/>
      <c r="W14" s="9"/>
      <c r="X14" s="5"/>
    </row>
    <row r="15" spans="2:27">
      <c r="D15" s="5"/>
      <c r="X15" s="5"/>
    </row>
    <row r="16" spans="2:27">
      <c r="S16" s="12"/>
      <c r="X16" s="5"/>
    </row>
    <row r="17" spans="4:24">
      <c r="D17" s="5"/>
    </row>
    <row r="18" spans="4:24">
      <c r="D18" s="5"/>
    </row>
    <row r="20" spans="4:24">
      <c r="X20" s="9"/>
    </row>
    <row r="22" spans="4:24">
      <c r="E22" s="5"/>
    </row>
    <row r="23" spans="4:24">
      <c r="D23" s="9"/>
    </row>
    <row r="25" spans="4:24">
      <c r="D25" s="9"/>
      <c r="X25" s="5"/>
    </row>
    <row r="33" spans="4:25">
      <c r="D33" s="9"/>
    </row>
    <row r="34" spans="4:25">
      <c r="G34" s="5"/>
      <c r="K34" s="9"/>
    </row>
    <row r="36" spans="4:25">
      <c r="H36" s="5"/>
      <c r="W36" s="9"/>
    </row>
    <row r="37" spans="4:25">
      <c r="I37" s="5"/>
      <c r="J37" s="5"/>
      <c r="P37" s="9"/>
    </row>
    <row r="40" spans="4:25">
      <c r="Y40" s="5" t="s">
        <v>94</v>
      </c>
    </row>
    <row r="41" spans="4:25">
      <c r="G41" s="5"/>
    </row>
  </sheetData>
  <sheetProtection selectLockedCells="1"/>
  <dataValidations count="3">
    <dataValidation type="list" allowBlank="1" showInputMessage="1" showErrorMessage="1" sqref="W2" xr:uid="{80E418FE-E7BD-4C54-8EB8-976FA35ED80E}">
      <formula1>"2025,2026"</formula1>
    </dataValidation>
    <dataValidation type="list" allowBlank="1" showInputMessage="1" showErrorMessage="1" sqref="W3" xr:uid="{C950F404-FC89-4FF0-868A-F976650F8758}">
      <formula1>"1,2,3,4,5,6,7,8,9,10,11,12"</formula1>
    </dataValidation>
    <dataValidation type="list" allowBlank="1" showInputMessage="1" showErrorMessage="1" sqref="W4" xr:uid="{DF3B5DE7-D4AB-4167-8FBB-2EF74A3548CB}">
      <formula1>Lista_Funcionarios</formula1>
    </dataValidation>
  </dataValidations>
  <pageMargins left="0.25" right="0.25" top="0.75" bottom="0.75" header="0.3" footer="0.3"/>
  <pageSetup paperSize="11" scale="43" orientation="landscape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641DA-617A-4BE6-B1A5-E1B743CF1F94}">
  <sheetPr codeName="Planilha2">
    <tabColor rgb="FF54678E"/>
  </sheetPr>
  <dimension ref="A1:F24"/>
  <sheetViews>
    <sheetView showGridLines="0" workbookViewId="0">
      <selection activeCell="E12" sqref="E12"/>
    </sheetView>
  </sheetViews>
  <sheetFormatPr defaultRowHeight="15"/>
  <cols>
    <col min="1" max="1" width="18.28515625" style="82" bestFit="1" customWidth="1"/>
    <col min="2" max="2" width="17.42578125" style="7" customWidth="1"/>
    <col min="3" max="3" width="17.42578125" customWidth="1"/>
    <col min="5" max="7" width="15.5703125" bestFit="1" customWidth="1"/>
    <col min="8" max="8" width="12" bestFit="1" customWidth="1"/>
    <col min="9" max="9" width="24.28515625" bestFit="1" customWidth="1"/>
  </cols>
  <sheetData>
    <row r="1" spans="1:5">
      <c r="A1" s="82" t="s">
        <v>0</v>
      </c>
      <c r="B1" s="7" t="s">
        <v>1</v>
      </c>
      <c r="C1" t="s">
        <v>2</v>
      </c>
    </row>
    <row r="9" spans="1:5">
      <c r="D9" s="6"/>
    </row>
    <row r="10" spans="1:5">
      <c r="E10" s="2"/>
    </row>
    <row r="21" spans="5:6">
      <c r="E21" s="2"/>
    </row>
    <row r="24" spans="5:6">
      <c r="E24" s="6"/>
      <c r="F24" s="2"/>
    </row>
  </sheetData>
  <sheetProtection selectLockedCells="1"/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6E5D4-2061-4E05-873C-F274EB3468EF}">
  <sheetPr codeName="Planilha3">
    <tabColor rgb="FF54678E"/>
  </sheetPr>
  <dimension ref="A1:K61"/>
  <sheetViews>
    <sheetView showGridLines="0" zoomScaleNormal="100" workbookViewId="0">
      <selection activeCell="E19" sqref="E19"/>
    </sheetView>
  </sheetViews>
  <sheetFormatPr defaultRowHeight="15"/>
  <cols>
    <col min="1" max="1" width="19.42578125" style="8" customWidth="1"/>
    <col min="2" max="2" width="26" style="7" bestFit="1" customWidth="1"/>
    <col min="3" max="3" width="29" style="7" bestFit="1" customWidth="1"/>
    <col min="4" max="4" width="19.7109375" style="8" customWidth="1"/>
    <col min="5" max="5" width="19.7109375" style="7" customWidth="1"/>
  </cols>
  <sheetData>
    <row r="1" spans="1:11">
      <c r="A1" s="8" t="s">
        <v>1</v>
      </c>
      <c r="B1" s="7" t="s">
        <v>8</v>
      </c>
      <c r="C1" s="7" t="s">
        <v>9</v>
      </c>
      <c r="D1" s="8" t="s">
        <v>2</v>
      </c>
      <c r="E1" s="7" t="s">
        <v>6</v>
      </c>
    </row>
    <row r="2" spans="1:11">
      <c r="A2" s="7"/>
      <c r="B2"/>
      <c r="C2"/>
      <c r="D2"/>
      <c r="E2"/>
    </row>
    <row r="6" spans="1:11">
      <c r="B6" s="8"/>
    </row>
    <row r="7" spans="1:11">
      <c r="C7" s="13"/>
    </row>
    <row r="8" spans="1:11">
      <c r="C8" s="13"/>
    </row>
    <row r="9" spans="1:11">
      <c r="G9" s="6"/>
    </row>
    <row r="10" spans="1:11">
      <c r="C10" s="8"/>
      <c r="E10" s="8"/>
    </row>
    <row r="12" spans="1:11">
      <c r="C12" s="78"/>
    </row>
    <row r="13" spans="1:11">
      <c r="D13" s="13"/>
      <c r="E13" s="80"/>
      <c r="H13" s="6"/>
    </row>
    <row r="14" spans="1:11">
      <c r="C14" s="13"/>
    </row>
    <row r="16" spans="1:11">
      <c r="K16" s="2"/>
    </row>
    <row r="17" spans="2:7">
      <c r="B17" s="8"/>
    </row>
    <row r="19" spans="2:7">
      <c r="C19" s="13"/>
    </row>
    <row r="20" spans="2:7">
      <c r="G20" s="6"/>
    </row>
    <row r="22" spans="2:7">
      <c r="E22" s="13"/>
    </row>
    <row r="26" spans="2:7">
      <c r="C26" s="13"/>
    </row>
    <row r="27" spans="2:7">
      <c r="E27" s="13"/>
    </row>
    <row r="61" spans="10:10">
      <c r="J61" s="2"/>
    </row>
  </sheetData>
  <sheetProtection selectLockedCells="1" autoFilter="0"/>
  <phoneticPr fontId="10" type="noConversion"/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DA1A9-B2CC-494E-B3AC-A85C103BBC32}">
  <sheetPr codeName="Planilha4">
    <tabColor rgb="FF54678E"/>
  </sheetPr>
  <dimension ref="A1:F17"/>
  <sheetViews>
    <sheetView showGridLines="0" zoomScaleNormal="100" workbookViewId="0">
      <selection activeCell="D14" sqref="D14"/>
    </sheetView>
  </sheetViews>
  <sheetFormatPr defaultRowHeight="15"/>
  <cols>
    <col min="1" max="1" width="16.5703125" style="86" bestFit="1" customWidth="1"/>
    <col min="2" max="2" width="16.5703125" style="88" bestFit="1" customWidth="1"/>
    <col min="3" max="4" width="11.85546875" style="7" bestFit="1" customWidth="1"/>
    <col min="5" max="5" width="11.5703125" bestFit="1" customWidth="1"/>
    <col min="6" max="6" width="10.7109375" bestFit="1" customWidth="1"/>
  </cols>
  <sheetData>
    <row r="1" spans="1:6">
      <c r="A1" s="85" t="s">
        <v>3</v>
      </c>
      <c r="B1" s="87" t="s">
        <v>4</v>
      </c>
      <c r="C1" s="8" t="s">
        <v>1</v>
      </c>
      <c r="D1" s="8" t="s">
        <v>2</v>
      </c>
    </row>
    <row r="2" spans="1:6">
      <c r="A2" s="90"/>
      <c r="B2" s="91"/>
      <c r="C2" s="13"/>
      <c r="D2" s="13"/>
    </row>
    <row r="5" spans="1:6">
      <c r="E5" s="6"/>
    </row>
    <row r="7" spans="1:6">
      <c r="F7" s="77"/>
    </row>
    <row r="12" spans="1:6">
      <c r="F12" s="2"/>
    </row>
    <row r="17" spans="6:6">
      <c r="F17" s="6"/>
    </row>
  </sheetData>
  <sheetProtection selectLockedCells="1"/>
  <sortState xmlns:xlrd2="http://schemas.microsoft.com/office/spreadsheetml/2017/richdata2" ref="A2:D2">
    <sortCondition ref="A2"/>
    <sortCondition ref="C2"/>
    <sortCondition ref="B2"/>
  </sortState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884C7-3262-48F9-B107-85964FF2329B}">
  <sheetPr codeName="Planilha5">
    <tabColor rgb="FF54678E"/>
  </sheetPr>
  <dimension ref="A1:P34"/>
  <sheetViews>
    <sheetView showGridLines="0" zoomScaleNormal="100" workbookViewId="0">
      <selection activeCell="F25" sqref="F25"/>
    </sheetView>
  </sheetViews>
  <sheetFormatPr defaultRowHeight="15"/>
  <cols>
    <col min="1" max="1" width="11.7109375" style="92" customWidth="1"/>
    <col min="2" max="2" width="11.7109375" style="7" customWidth="1"/>
    <col min="3" max="3" width="11.7109375" customWidth="1"/>
    <col min="4" max="7" width="11.7109375" style="81" customWidth="1"/>
    <col min="8" max="8" width="12.85546875" style="81" customWidth="1"/>
    <col min="9" max="9" width="12.5703125" bestFit="1" customWidth="1"/>
    <col min="10" max="10" width="14" style="81" customWidth="1"/>
    <col min="11" max="11" width="14.5703125" style="81" customWidth="1"/>
    <col min="12" max="12" width="15.42578125" style="42" customWidth="1"/>
    <col min="13" max="15" width="11.7109375" customWidth="1"/>
  </cols>
  <sheetData>
    <row r="1" spans="1:16">
      <c r="A1" s="92" t="s">
        <v>3</v>
      </c>
      <c r="B1" s="7" t="s">
        <v>1</v>
      </c>
      <c r="C1" t="s">
        <v>2</v>
      </c>
      <c r="D1" s="81" t="s">
        <v>31</v>
      </c>
      <c r="E1" s="81" t="s">
        <v>32</v>
      </c>
      <c r="F1" s="81" t="s">
        <v>33</v>
      </c>
      <c r="G1" s="81" t="s">
        <v>34</v>
      </c>
      <c r="H1" s="81" t="s">
        <v>5</v>
      </c>
      <c r="I1" t="s">
        <v>6</v>
      </c>
      <c r="J1" s="81" t="s">
        <v>7</v>
      </c>
      <c r="K1" s="81" t="s">
        <v>69</v>
      </c>
      <c r="L1" s="42" t="s">
        <v>35</v>
      </c>
      <c r="M1" t="s">
        <v>11</v>
      </c>
    </row>
    <row r="11" spans="1:16">
      <c r="N11" s="40"/>
      <c r="O11" s="41"/>
      <c r="P11" s="39"/>
    </row>
    <row r="12" spans="1:16">
      <c r="N12" s="40"/>
      <c r="O12" s="41"/>
      <c r="P12" s="39"/>
    </row>
    <row r="34" spans="15:15">
      <c r="O34" s="77"/>
    </row>
  </sheetData>
  <sheetProtection selectLockedCells="1"/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67EC4-6559-4080-8BA6-E57ADA20B45F}">
  <sheetPr codeName="Planilha7">
    <tabColor rgb="FF54678E"/>
  </sheetPr>
  <dimension ref="A1:O24"/>
  <sheetViews>
    <sheetView showGridLines="0" showRowColHeaders="0" zoomScaleNormal="100" workbookViewId="0">
      <selection activeCell="B9" sqref="B9"/>
    </sheetView>
  </sheetViews>
  <sheetFormatPr defaultRowHeight="15"/>
  <cols>
    <col min="1" max="1" width="9.7109375" style="3" customWidth="1"/>
    <col min="2" max="2" width="29.28515625" style="3" customWidth="1"/>
    <col min="3" max="3" width="36" bestFit="1" customWidth="1"/>
    <col min="4" max="4" width="19.42578125" customWidth="1"/>
    <col min="5" max="5" width="26.28515625" style="4" customWidth="1"/>
    <col min="6" max="6" width="21.5703125" style="4" customWidth="1"/>
    <col min="7" max="7" width="21.5703125" customWidth="1"/>
    <col min="8" max="8" width="9.7109375" customWidth="1"/>
    <col min="9" max="9" width="5.28515625" customWidth="1"/>
    <col min="10" max="10" width="14.85546875" bestFit="1" customWidth="1"/>
    <col min="11" max="11" width="14.42578125" customWidth="1"/>
    <col min="14" max="14" width="17.85546875" bestFit="1" customWidth="1"/>
  </cols>
  <sheetData>
    <row r="1" spans="1:15" ht="16.5" thickBot="1">
      <c r="A1" s="38" t="s">
        <v>36</v>
      </c>
      <c r="B1" s="48">
        <f>DASHBOARD!W4</f>
        <v>0</v>
      </c>
      <c r="C1" s="36" t="s">
        <v>37</v>
      </c>
      <c r="D1" s="37" t="s">
        <v>38</v>
      </c>
      <c r="E1" s="30" t="str">
        <f>"COLABORADOR: " &amp; IFERROR(VLOOKUP(TEXT(DASHBOARD!$W$4,"00000"),FUNCIONARIOS!$A:$B,2,0),"")</f>
        <v xml:space="preserve">COLABORADOR: </v>
      </c>
      <c r="F1"/>
      <c r="G1" s="28" t="s">
        <v>72</v>
      </c>
      <c r="H1" s="28" t="s">
        <v>71</v>
      </c>
      <c r="I1" s="31"/>
      <c r="J1" s="28"/>
      <c r="K1" s="28" t="s">
        <v>70</v>
      </c>
      <c r="L1" t="s">
        <v>73</v>
      </c>
      <c r="N1" s="6" t="s">
        <v>2</v>
      </c>
      <c r="O1" t="s">
        <v>41</v>
      </c>
    </row>
    <row r="2" spans="1:15" ht="16.5" thickBot="1">
      <c r="A2" s="38" t="s">
        <v>39</v>
      </c>
      <c r="B2" s="83">
        <f>DASHBOARD!W3</f>
        <v>0</v>
      </c>
      <c r="C2" s="36" t="s">
        <v>40</v>
      </c>
      <c r="D2" s="37" t="s">
        <v>38</v>
      </c>
      <c r="E2" s="30"/>
      <c r="F2"/>
      <c r="G2" s="28" t="s">
        <v>73</v>
      </c>
      <c r="H2" s="29">
        <f>B5</f>
        <v>0</v>
      </c>
      <c r="I2" s="28"/>
      <c r="J2" t="s">
        <v>78</v>
      </c>
      <c r="K2" s="29">
        <f>B6</f>
        <v>6.666666666666667</v>
      </c>
      <c r="L2" s="4">
        <f>B5</f>
        <v>0</v>
      </c>
      <c r="N2" s="6" t="s">
        <v>8</v>
      </c>
      <c r="O2" t="s">
        <v>79</v>
      </c>
    </row>
    <row r="3" spans="1:15" ht="16.5" thickBot="1">
      <c r="A3" s="38" t="s">
        <v>41</v>
      </c>
      <c r="B3" s="48">
        <f>DASHBOARD!W2</f>
        <v>0</v>
      </c>
      <c r="C3" s="36" t="s">
        <v>11</v>
      </c>
      <c r="D3" s="37" t="s">
        <v>38</v>
      </c>
      <c r="E3" s="30"/>
      <c r="F3" s="30"/>
      <c r="G3" s="28" t="s">
        <v>74</v>
      </c>
      <c r="H3" s="29">
        <f>B6</f>
        <v>6.666666666666667</v>
      </c>
      <c r="I3" s="28"/>
      <c r="J3" s="28"/>
      <c r="K3" s="29"/>
      <c r="N3" t="s">
        <v>17</v>
      </c>
      <c r="O3" t="s">
        <v>84</v>
      </c>
    </row>
    <row r="4" spans="1:15" ht="16.5" thickBot="1">
      <c r="A4" s="38" t="s">
        <v>42</v>
      </c>
      <c r="B4" s="38"/>
      <c r="C4" s="34" t="s">
        <v>42</v>
      </c>
      <c r="D4" s="35" t="s">
        <v>42</v>
      </c>
      <c r="E4" s="29"/>
      <c r="F4" s="29"/>
      <c r="H4" s="4"/>
      <c r="I4" s="28"/>
      <c r="J4" s="28"/>
      <c r="K4" s="28"/>
      <c r="N4" t="s">
        <v>12</v>
      </c>
      <c r="O4" t="s">
        <v>80</v>
      </c>
    </row>
    <row r="5" spans="1:15" ht="30" thickBot="1">
      <c r="A5" s="38" t="s">
        <v>43</v>
      </c>
      <c r="B5" s="46">
        <f>SUMIFS(JORNADA!$H:$H, JORNADA!$B:$B, $B$1, JORNADA!$L:$L, $B$2, JORNADA!$M:$M, $B$3)</f>
        <v>0</v>
      </c>
      <c r="C5" s="36" t="s">
        <v>44</v>
      </c>
      <c r="D5" s="35" t="s">
        <v>45</v>
      </c>
      <c r="E5" s="29"/>
      <c r="F5" s="29"/>
      <c r="G5" s="28"/>
      <c r="H5" s="28"/>
      <c r="I5" s="28"/>
      <c r="J5" s="28"/>
      <c r="K5" s="28"/>
      <c r="L5" s="28"/>
      <c r="M5" s="28"/>
      <c r="N5" t="s">
        <v>16</v>
      </c>
      <c r="O5" t="s">
        <v>81</v>
      </c>
    </row>
    <row r="6" spans="1:15" ht="30" thickBot="1">
      <c r="A6" s="38" t="s">
        <v>46</v>
      </c>
      <c r="B6" s="45">
        <f>160/24</f>
        <v>6.666666666666667</v>
      </c>
      <c r="C6" s="36" t="s">
        <v>47</v>
      </c>
      <c r="D6" s="35" t="s">
        <v>48</v>
      </c>
      <c r="E6" s="29"/>
      <c r="F6" s="29"/>
      <c r="G6" s="28"/>
      <c r="H6" s="28"/>
      <c r="I6" s="28"/>
      <c r="J6" s="28"/>
      <c r="K6" s="28"/>
      <c r="L6" s="28"/>
      <c r="M6" s="28"/>
      <c r="N6" t="s">
        <v>19</v>
      </c>
      <c r="O6" t="s">
        <v>85</v>
      </c>
    </row>
    <row r="7" spans="1:15" ht="30" thickBot="1">
      <c r="A7" s="38" t="s">
        <v>67</v>
      </c>
      <c r="B7" s="47">
        <f>SUMIFS(JORNADA!$J:$J, JORNADA!$B:$B, $B$1, JORNADA!$L:$L, $B$2, JORNADA!$M:$M, $B$3)</f>
        <v>0</v>
      </c>
      <c r="C7" s="36" t="s">
        <v>50</v>
      </c>
      <c r="D7" s="35" t="s">
        <v>51</v>
      </c>
      <c r="E7" s="30"/>
      <c r="F7" s="84"/>
      <c r="I7" s="28"/>
      <c r="L7" s="28"/>
      <c r="M7" s="28"/>
      <c r="N7" t="s">
        <v>3</v>
      </c>
      <c r="O7" t="s">
        <v>49</v>
      </c>
    </row>
    <row r="8" spans="1:15" ht="30" thickBot="1">
      <c r="A8" s="38" t="s">
        <v>49</v>
      </c>
      <c r="B8" s="72">
        <f>SUMIFS(JORNADA!$K:$K, JORNADA!$B:$B, $B$1, JORNADA!$L:$L, $B$2, JORNADA!$M:$M, $B$3)</f>
        <v>0</v>
      </c>
      <c r="C8" s="36" t="s">
        <v>53</v>
      </c>
      <c r="D8" s="35" t="s">
        <v>51</v>
      </c>
      <c r="E8" s="29"/>
      <c r="F8" s="29"/>
      <c r="I8" s="28"/>
      <c r="L8" s="28"/>
      <c r="M8" s="28"/>
      <c r="N8" t="s">
        <v>25</v>
      </c>
      <c r="O8" s="6" t="s">
        <v>86</v>
      </c>
    </row>
    <row r="9" spans="1:15" ht="30" thickBot="1">
      <c r="A9" s="70" t="s">
        <v>52</v>
      </c>
      <c r="B9" s="79">
        <f>B7 - B8</f>
        <v>0</v>
      </c>
      <c r="C9" s="71" t="s">
        <v>55</v>
      </c>
      <c r="D9" s="35" t="s">
        <v>56</v>
      </c>
      <c r="E9" s="43"/>
      <c r="F9" s="29"/>
      <c r="I9" s="28"/>
      <c r="L9" s="28"/>
      <c r="M9" s="28"/>
      <c r="N9" t="s">
        <v>26</v>
      </c>
      <c r="O9" s="6" t="s">
        <v>87</v>
      </c>
    </row>
    <row r="10" spans="1:15" ht="30" thickBot="1">
      <c r="A10" s="38" t="s">
        <v>54</v>
      </c>
      <c r="B10" s="73">
        <f>COUNTIFS(JORNADA!B:B,B1,JORNADA!I:I,"INCOMPLETO",JORNADA!L:L,B2,JORNADA!M:M,B3)</f>
        <v>0</v>
      </c>
      <c r="C10" s="36" t="s">
        <v>58</v>
      </c>
      <c r="D10" s="35" t="s">
        <v>59</v>
      </c>
      <c r="F10" s="62"/>
      <c r="N10" t="s">
        <v>27</v>
      </c>
      <c r="O10" s="6" t="s">
        <v>88</v>
      </c>
    </row>
    <row r="11" spans="1:15" ht="30" thickBot="1">
      <c r="A11" s="38" t="s">
        <v>68</v>
      </c>
      <c r="B11" s="68">
        <f>COUNTIF(FUNCIONARIOS!E:E,"ATIVO")</f>
        <v>0</v>
      </c>
      <c r="C11" s="36" t="s">
        <v>61</v>
      </c>
      <c r="D11" s="35" t="s">
        <v>62</v>
      </c>
      <c r="E11" s="32"/>
      <c r="N11" t="s">
        <v>24</v>
      </c>
      <c r="O11" s="6" t="s">
        <v>89</v>
      </c>
    </row>
    <row r="12" spans="1:15" ht="29.25">
      <c r="A12" s="49" t="s">
        <v>57</v>
      </c>
      <c r="B12" s="55">
        <f>COUNTIFS(JORNADA!B:B,B1,JORNADA!I:I,"INCOMPLETO",JORNADA!L:L,B2,JORNADA!M:M,B3)</f>
        <v>0</v>
      </c>
      <c r="C12" s="50" t="s">
        <v>63</v>
      </c>
      <c r="D12" s="51" t="s">
        <v>64</v>
      </c>
      <c r="N12" t="s">
        <v>20</v>
      </c>
      <c r="O12" s="6" t="s">
        <v>90</v>
      </c>
    </row>
    <row r="13" spans="1:15" ht="29.25">
      <c r="A13" s="56" t="s">
        <v>60</v>
      </c>
      <c r="B13" s="57"/>
      <c r="C13" s="58" t="s">
        <v>65</v>
      </c>
      <c r="D13" s="59" t="s">
        <v>66</v>
      </c>
      <c r="E13"/>
      <c r="F13"/>
      <c r="G13" s="77"/>
      <c r="N13" t="s">
        <v>82</v>
      </c>
      <c r="O13" s="6" t="s">
        <v>91</v>
      </c>
    </row>
    <row r="14" spans="1:15">
      <c r="A14" s="52" t="s">
        <v>75</v>
      </c>
      <c r="B14" s="74">
        <f>IF(B6=0,0,B5/B6)</f>
        <v>0</v>
      </c>
      <c r="C14" s="53" t="s">
        <v>76</v>
      </c>
      <c r="D14" s="54" t="s">
        <v>77</v>
      </c>
      <c r="N14" t="s">
        <v>92</v>
      </c>
      <c r="O14" s="6" t="s">
        <v>93</v>
      </c>
    </row>
    <row r="18" spans="3:6">
      <c r="D18" s="6"/>
    </row>
    <row r="19" spans="3:6">
      <c r="C19" s="7"/>
    </row>
    <row r="20" spans="3:6">
      <c r="C20" s="2"/>
    </row>
    <row r="21" spans="3:6">
      <c r="F21" s="32"/>
    </row>
    <row r="24" spans="3:6">
      <c r="C24" s="2"/>
    </row>
  </sheetData>
  <sheetProtection selectLockedCells="1"/>
  <dataConsolidate/>
  <phoneticPr fontId="10" type="noConversion"/>
  <conditionalFormatting sqref="B9">
    <cfRule type="cellIs" dxfId="1" priority="1" operator="greaterThan">
      <formula>0.0001</formula>
    </cfRule>
    <cfRule type="cellIs" dxfId="0" priority="2" operator="less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4ACD9-7294-4DF4-A1B7-0CF5212668B2}">
  <sheetPr codeName="Planilha11">
    <tabColor rgb="FF54678E"/>
    <pageSetUpPr fitToPage="1"/>
  </sheetPr>
  <dimension ref="A1:AB490"/>
  <sheetViews>
    <sheetView showGridLines="0" showRuler="0" zoomScale="70" zoomScaleNormal="70" zoomScalePageLayoutView="40" workbookViewId="0">
      <selection activeCell="Q21" sqref="Q21"/>
    </sheetView>
  </sheetViews>
  <sheetFormatPr defaultRowHeight="15"/>
  <cols>
    <col min="1" max="1" width="9.7109375" customWidth="1"/>
    <col min="2" max="2" width="12.7109375" customWidth="1"/>
    <col min="3" max="7" width="12.7109375" style="4" customWidth="1"/>
    <col min="8" max="8" width="16.7109375" style="7" customWidth="1"/>
    <col min="12" max="12" width="19.5703125" customWidth="1"/>
  </cols>
  <sheetData>
    <row r="1" spans="1:28" ht="45" customHeight="1">
      <c r="A1" s="95"/>
      <c r="B1" s="96"/>
      <c r="C1" s="97" t="s">
        <v>22</v>
      </c>
      <c r="D1" s="97"/>
      <c r="E1" s="97"/>
      <c r="F1" s="97"/>
      <c r="G1" s="97"/>
      <c r="H1" s="98"/>
    </row>
    <row r="2" spans="1:28" ht="22.5" customHeight="1">
      <c r="A2" s="16" t="s">
        <v>23</v>
      </c>
      <c r="B2" s="105"/>
      <c r="C2" s="105"/>
      <c r="D2" s="105"/>
      <c r="E2" s="106"/>
      <c r="F2" s="69" t="s">
        <v>17</v>
      </c>
      <c r="G2" s="99" t="s">
        <v>95</v>
      </c>
      <c r="H2" s="100"/>
    </row>
    <row r="3" spans="1:28" ht="22.5" customHeight="1">
      <c r="A3" s="16" t="s">
        <v>18</v>
      </c>
      <c r="B3" s="105"/>
      <c r="C3" s="105"/>
      <c r="D3" s="105"/>
      <c r="E3" s="106"/>
      <c r="F3" s="69" t="s">
        <v>12</v>
      </c>
      <c r="G3" s="101"/>
      <c r="H3" s="102"/>
    </row>
    <row r="4" spans="1:28" ht="22.5" customHeight="1">
      <c r="A4" s="16" t="s">
        <v>15</v>
      </c>
      <c r="B4" s="105"/>
      <c r="C4" s="105"/>
      <c r="D4" s="105"/>
      <c r="E4" s="106"/>
      <c r="F4" s="69" t="s">
        <v>16</v>
      </c>
      <c r="G4" s="103"/>
      <c r="H4" s="104"/>
      <c r="J4" s="2"/>
    </row>
    <row r="5" spans="1:28" ht="16.5" customHeight="1">
      <c r="A5" s="17"/>
      <c r="B5" s="17"/>
      <c r="C5" s="18"/>
      <c r="D5" s="18"/>
      <c r="E5" s="18"/>
      <c r="F5" s="18"/>
      <c r="G5" s="18"/>
      <c r="H5" s="19"/>
      <c r="J5" s="2"/>
      <c r="K5" s="2"/>
    </row>
    <row r="6" spans="1:28" ht="32.25" customHeight="1">
      <c r="A6" s="107" t="s">
        <v>19</v>
      </c>
      <c r="B6" s="113" t="s">
        <v>3</v>
      </c>
      <c r="C6" s="111" t="s">
        <v>25</v>
      </c>
      <c r="D6" s="115" t="s">
        <v>28</v>
      </c>
      <c r="E6" s="116"/>
      <c r="F6" s="111" t="s">
        <v>24</v>
      </c>
      <c r="G6" s="109" t="s">
        <v>20</v>
      </c>
      <c r="H6" s="93" t="s">
        <v>21</v>
      </c>
      <c r="O6" s="6"/>
      <c r="AA6" s="6"/>
    </row>
    <row r="7" spans="1:28" ht="15.75">
      <c r="A7" s="108"/>
      <c r="B7" s="114"/>
      <c r="C7" s="112"/>
      <c r="D7" s="63" t="s">
        <v>26</v>
      </c>
      <c r="E7" s="63" t="s">
        <v>27</v>
      </c>
      <c r="F7" s="112"/>
      <c r="G7" s="110"/>
      <c r="H7" s="94"/>
      <c r="AA7" s="6"/>
    </row>
    <row r="8" spans="1:28" ht="22.5" customHeight="1">
      <c r="A8" s="14">
        <v>30</v>
      </c>
      <c r="B8" s="22"/>
      <c r="C8" s="23"/>
      <c r="D8" s="23"/>
      <c r="E8" s="23"/>
      <c r="F8" s="23"/>
      <c r="G8" s="15"/>
      <c r="H8" s="20"/>
    </row>
    <row r="9" spans="1:28" ht="22.5" customHeight="1">
      <c r="A9" s="14"/>
      <c r="B9" s="22"/>
      <c r="C9" s="23"/>
      <c r="D9" s="23"/>
      <c r="E9" s="23"/>
      <c r="F9" s="23"/>
      <c r="G9" s="15"/>
      <c r="H9" s="21"/>
    </row>
    <row r="10" spans="1:28" ht="22.5" customHeight="1">
      <c r="A10" s="14"/>
      <c r="B10" s="22"/>
      <c r="C10" s="23"/>
      <c r="D10" s="23"/>
      <c r="E10" s="23"/>
      <c r="F10" s="23"/>
      <c r="G10" s="15"/>
      <c r="H10" s="21"/>
    </row>
    <row r="11" spans="1:28" ht="22.5" customHeight="1">
      <c r="A11" s="14"/>
      <c r="B11" s="22"/>
      <c r="C11" s="23"/>
      <c r="D11" s="23"/>
      <c r="E11" s="23"/>
      <c r="F11" s="23"/>
      <c r="G11" s="15"/>
      <c r="H11" s="21"/>
    </row>
    <row r="12" spans="1:28" ht="22.5" customHeight="1">
      <c r="A12" s="14"/>
      <c r="B12" s="22"/>
      <c r="C12" s="23"/>
      <c r="D12" s="23"/>
      <c r="E12" s="23"/>
      <c r="F12" s="23"/>
      <c r="G12" s="15"/>
      <c r="H12" s="21"/>
    </row>
    <row r="13" spans="1:28" ht="22.5" customHeight="1">
      <c r="A13" s="14"/>
      <c r="B13" s="22"/>
      <c r="C13" s="23"/>
      <c r="D13" s="23"/>
      <c r="E13" s="23"/>
      <c r="F13" s="23"/>
      <c r="G13" s="15"/>
      <c r="H13" s="21"/>
      <c r="T13" s="2"/>
      <c r="AB13" s="6"/>
    </row>
    <row r="14" spans="1:28" ht="22.5" customHeight="1">
      <c r="A14" s="14"/>
      <c r="B14" s="22"/>
      <c r="C14" s="23"/>
      <c r="D14" s="23"/>
      <c r="E14" s="23"/>
      <c r="F14" s="23"/>
      <c r="G14" s="15"/>
      <c r="H14" s="21"/>
      <c r="O14" s="2"/>
      <c r="U14" s="77"/>
      <c r="AB14" s="6"/>
    </row>
    <row r="15" spans="1:28" ht="22.5" customHeight="1">
      <c r="A15" s="14"/>
      <c r="B15" s="22"/>
      <c r="C15" s="23"/>
      <c r="D15" s="23"/>
      <c r="E15" s="23"/>
      <c r="F15" s="23"/>
      <c r="G15" s="15"/>
      <c r="H15" s="21"/>
      <c r="AB15" s="6"/>
    </row>
    <row r="16" spans="1:28" ht="22.5" customHeight="1">
      <c r="A16" s="14"/>
      <c r="B16" s="22"/>
      <c r="C16" s="23"/>
      <c r="D16" s="23"/>
      <c r="E16" s="23"/>
      <c r="F16" s="23"/>
      <c r="G16" s="15"/>
      <c r="H16" s="21"/>
      <c r="AB16" s="6"/>
    </row>
    <row r="17" spans="1:28" ht="22.5" customHeight="1">
      <c r="A17" s="14"/>
      <c r="B17" s="22"/>
      <c r="C17" s="23"/>
      <c r="D17" s="23"/>
      <c r="E17" s="23"/>
      <c r="F17" s="23"/>
      <c r="G17" s="15"/>
      <c r="H17" s="21"/>
      <c r="AB17" s="6"/>
    </row>
    <row r="18" spans="1:28" ht="22.5" customHeight="1">
      <c r="A18" s="14"/>
      <c r="B18" s="22"/>
      <c r="C18" s="23"/>
      <c r="D18" s="23"/>
      <c r="E18" s="23"/>
      <c r="F18" s="23"/>
      <c r="G18" s="15"/>
      <c r="H18" s="21"/>
      <c r="AB18" s="6"/>
    </row>
    <row r="19" spans="1:28" ht="22.5" customHeight="1">
      <c r="A19" s="14"/>
      <c r="B19" s="22"/>
      <c r="C19" s="23"/>
      <c r="D19" s="23"/>
      <c r="E19" s="23"/>
      <c r="F19" s="23"/>
      <c r="G19" s="15"/>
      <c r="H19" s="21"/>
      <c r="AB19" s="6"/>
    </row>
    <row r="20" spans="1:28" ht="22.5" customHeight="1">
      <c r="A20" s="14"/>
      <c r="B20" s="22"/>
      <c r="C20" s="23"/>
      <c r="D20" s="23"/>
      <c r="E20" s="23"/>
      <c r="F20" s="23"/>
      <c r="G20" s="15"/>
      <c r="H20" s="21"/>
    </row>
    <row r="21" spans="1:28" ht="22.5" customHeight="1">
      <c r="A21" s="14"/>
      <c r="B21" s="22"/>
      <c r="C21" s="23"/>
      <c r="D21" s="23"/>
      <c r="E21" s="23"/>
      <c r="F21" s="23"/>
      <c r="G21" s="15"/>
      <c r="H21" s="21"/>
    </row>
    <row r="22" spans="1:28" ht="22.5" customHeight="1">
      <c r="A22" s="14"/>
      <c r="B22" s="22"/>
      <c r="C22" s="23"/>
      <c r="D22" s="23"/>
      <c r="E22" s="23"/>
      <c r="F22" s="23"/>
      <c r="G22" s="15"/>
      <c r="H22" s="21"/>
    </row>
    <row r="23" spans="1:28" ht="22.5" customHeight="1">
      <c r="A23" s="14"/>
      <c r="B23" s="22"/>
      <c r="C23" s="23"/>
      <c r="D23" s="23"/>
      <c r="E23" s="23"/>
      <c r="F23" s="23"/>
      <c r="G23" s="15"/>
      <c r="H23" s="21"/>
      <c r="K23" s="2"/>
    </row>
    <row r="24" spans="1:28" ht="22.5" customHeight="1">
      <c r="A24" s="14"/>
      <c r="B24" s="22"/>
      <c r="C24" s="23"/>
      <c r="D24" s="23"/>
      <c r="E24" s="23"/>
      <c r="F24" s="23"/>
      <c r="G24" s="15"/>
      <c r="H24" s="21"/>
    </row>
    <row r="25" spans="1:28" ht="22.5" customHeight="1">
      <c r="A25" s="14"/>
      <c r="B25" s="22"/>
      <c r="C25" s="23"/>
      <c r="D25" s="23"/>
      <c r="E25" s="23"/>
      <c r="F25" s="23"/>
      <c r="G25" s="15"/>
      <c r="H25" s="21"/>
    </row>
    <row r="26" spans="1:28" ht="22.5" customHeight="1">
      <c r="A26" s="14"/>
      <c r="B26" s="22"/>
      <c r="C26" s="23"/>
      <c r="D26" s="23"/>
      <c r="E26" s="23"/>
      <c r="F26" s="23"/>
      <c r="G26" s="15"/>
      <c r="H26" s="21"/>
      <c r="O26" s="6"/>
    </row>
    <row r="27" spans="1:28" ht="22.5" customHeight="1">
      <c r="A27" s="14"/>
      <c r="B27" s="22"/>
      <c r="C27" s="23"/>
      <c r="D27" s="23"/>
      <c r="E27" s="23"/>
      <c r="F27" s="23"/>
      <c r="G27" s="15"/>
      <c r="H27" s="21"/>
    </row>
    <row r="28" spans="1:28" ht="22.5" customHeight="1">
      <c r="A28" s="14"/>
      <c r="B28" s="22"/>
      <c r="C28" s="23"/>
      <c r="D28" s="23"/>
      <c r="E28" s="23"/>
      <c r="F28" s="23"/>
      <c r="G28" s="15"/>
      <c r="H28" s="21"/>
    </row>
    <row r="29" spans="1:28" ht="22.5" customHeight="1">
      <c r="A29" s="14"/>
      <c r="B29" s="22"/>
      <c r="C29" s="23"/>
      <c r="D29" s="23"/>
      <c r="E29" s="23"/>
      <c r="F29" s="23"/>
      <c r="G29" s="15"/>
      <c r="H29" s="21"/>
    </row>
    <row r="30" spans="1:28" ht="22.5" customHeight="1">
      <c r="A30" s="14"/>
      <c r="B30" s="22"/>
      <c r="C30" s="23"/>
      <c r="D30" s="23"/>
      <c r="E30" s="23"/>
      <c r="F30" s="23"/>
      <c r="G30" s="15"/>
      <c r="H30" s="21"/>
    </row>
    <row r="31" spans="1:28">
      <c r="C31"/>
      <c r="D31"/>
      <c r="E31"/>
      <c r="F31"/>
      <c r="G31"/>
      <c r="H31"/>
    </row>
    <row r="32" spans="1:28">
      <c r="C32"/>
      <c r="D32"/>
      <c r="E32"/>
      <c r="F32"/>
      <c r="G32"/>
      <c r="H32"/>
    </row>
    <row r="33" spans="3:10">
      <c r="C33"/>
      <c r="D33"/>
      <c r="E33"/>
      <c r="F33"/>
      <c r="G33"/>
      <c r="H33"/>
    </row>
    <row r="34" spans="3:10" ht="15.75">
      <c r="C34"/>
      <c r="D34" s="67" t="s">
        <v>82</v>
      </c>
      <c r="E34" s="64"/>
      <c r="F34" s="64"/>
      <c r="G34" s="64"/>
      <c r="H34" s="65"/>
      <c r="J34" s="2"/>
    </row>
    <row r="35" spans="3:10">
      <c r="C35"/>
      <c r="D35" s="66"/>
      <c r="E35"/>
      <c r="F35"/>
      <c r="G35"/>
      <c r="H35"/>
    </row>
    <row r="36" spans="3:10">
      <c r="C36"/>
      <c r="D36" s="66" t="s">
        <v>83</v>
      </c>
      <c r="E36" s="33">
        <f ca="1">TODAY()</f>
        <v>44650</v>
      </c>
      <c r="F36"/>
      <c r="G36"/>
      <c r="H36"/>
    </row>
    <row r="37" spans="3:10">
      <c r="C37"/>
      <c r="D37"/>
      <c r="E37"/>
      <c r="F37"/>
      <c r="G37"/>
      <c r="H37"/>
    </row>
    <row r="38" spans="3:10">
      <c r="C38"/>
      <c r="D38"/>
      <c r="E38"/>
      <c r="F38"/>
      <c r="G38"/>
      <c r="H38"/>
    </row>
    <row r="39" spans="3:10">
      <c r="C39"/>
      <c r="D39"/>
      <c r="E39"/>
      <c r="F39"/>
      <c r="G39"/>
      <c r="H39"/>
    </row>
    <row r="40" spans="3:10">
      <c r="C40"/>
      <c r="D40"/>
      <c r="E40"/>
      <c r="F40"/>
      <c r="G40"/>
      <c r="H40"/>
    </row>
    <row r="41" spans="3:10">
      <c r="C41"/>
      <c r="D41"/>
      <c r="E41"/>
      <c r="F41"/>
      <c r="G41"/>
      <c r="H41"/>
    </row>
    <row r="42" spans="3:10">
      <c r="C42"/>
      <c r="D42"/>
      <c r="E42"/>
      <c r="F42"/>
      <c r="G42"/>
      <c r="H42"/>
      <c r="J42" s="6"/>
    </row>
    <row r="43" spans="3:10">
      <c r="C43"/>
      <c r="D43"/>
      <c r="E43"/>
      <c r="F43"/>
      <c r="G43"/>
      <c r="H43"/>
    </row>
    <row r="44" spans="3:10">
      <c r="C44"/>
      <c r="D44"/>
      <c r="E44"/>
      <c r="F44"/>
      <c r="G44"/>
      <c r="H44"/>
    </row>
    <row r="45" spans="3:10">
      <c r="C45"/>
      <c r="D45"/>
      <c r="E45"/>
      <c r="F45"/>
      <c r="G45"/>
      <c r="H45"/>
    </row>
    <row r="46" spans="3:10">
      <c r="C46"/>
      <c r="D46"/>
      <c r="E46"/>
      <c r="F46"/>
      <c r="G46"/>
      <c r="H46"/>
    </row>
    <row r="47" spans="3:10">
      <c r="C47"/>
      <c r="D47"/>
      <c r="E47"/>
      <c r="F47"/>
      <c r="G47"/>
      <c r="H47"/>
    </row>
    <row r="48" spans="3:10">
      <c r="C48"/>
      <c r="D48"/>
      <c r="E48"/>
      <c r="F48"/>
      <c r="G48"/>
      <c r="H48"/>
    </row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</sheetData>
  <sheetProtection selectLockedCells="1"/>
  <mergeCells count="15">
    <mergeCell ref="H6:H7"/>
    <mergeCell ref="A1:B1"/>
    <mergeCell ref="C1:H1"/>
    <mergeCell ref="G2:H2"/>
    <mergeCell ref="G3:H3"/>
    <mergeCell ref="G4:H4"/>
    <mergeCell ref="B2:E2"/>
    <mergeCell ref="B3:E3"/>
    <mergeCell ref="B4:E4"/>
    <mergeCell ref="A6:A7"/>
    <mergeCell ref="G6:G7"/>
    <mergeCell ref="F6:F7"/>
    <mergeCell ref="B6:B7"/>
    <mergeCell ref="C6:C7"/>
    <mergeCell ref="D6:E6"/>
  </mergeCells>
  <printOptions horizontalCentered="1" verticalCentered="1"/>
  <pageMargins left="0.2" right="0.2" top="0.74803149606299213" bottom="0.74803149606299213" header="0.31496062992125984" footer="0.31496062992125984"/>
  <pageSetup paperSize="9" scale="85" orientation="portrait" useFirstPageNumber="1" r:id="rId1"/>
  <headerFooter scaleWithDoc="0" alignWithMargins="0"/>
  <rowBreaks count="1" manualBreakCount="1">
    <brk id="5" max="16383" man="1"/>
  </rowBreaks>
  <colBreaks count="1" manualBreakCount="1">
    <brk id="3" max="104857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342BB-BF87-4057-8754-DE053B10EDB4}">
  <sheetPr codeName="Planilha9">
    <tabColor rgb="FF54678E"/>
  </sheetPr>
  <dimension ref="A10:BA34"/>
  <sheetViews>
    <sheetView showGridLines="0" showRowColHeaders="0" workbookViewId="0">
      <selection activeCell="E32" sqref="E32"/>
    </sheetView>
  </sheetViews>
  <sheetFormatPr defaultRowHeight="15"/>
  <cols>
    <col min="1" max="53" width="9.140625" style="1"/>
  </cols>
  <sheetData>
    <row r="10" spans="10:16">
      <c r="J10" s="26" t="s">
        <v>30</v>
      </c>
    </row>
    <row r="11" spans="10:16">
      <c r="P11" s="5"/>
    </row>
    <row r="15" spans="10:16">
      <c r="K15" s="26"/>
    </row>
    <row r="31" spans="15:15">
      <c r="O31" s="5"/>
    </row>
    <row r="34" spans="4:4">
      <c r="D34" s="76"/>
    </row>
  </sheetData>
  <sheetProtection selectLockedCells="1"/>
  <pageMargins left="0.511811024" right="0.511811024" top="0.78740157499999996" bottom="0.78740157499999996" header="0.31496062000000002" footer="0.31496062000000002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D6D76-A886-4829-9C41-0388C4431493}">
  <sheetPr codeName="Planilha12">
    <tabColor rgb="FF54678E"/>
  </sheetPr>
  <dimension ref="A1:N78"/>
  <sheetViews>
    <sheetView workbookViewId="0">
      <pane ySplit="1" topLeftCell="A31" activePane="bottomLeft" state="frozen"/>
      <selection activeCell="E32" sqref="E32"/>
      <selection pane="bottomLeft" activeCell="E62" sqref="E62"/>
    </sheetView>
  </sheetViews>
  <sheetFormatPr defaultRowHeight="15"/>
  <cols>
    <col min="1" max="3" width="20.7109375" customWidth="1"/>
  </cols>
  <sheetData>
    <row r="1" spans="1:9" ht="30.75" customHeight="1">
      <c r="A1" s="27" t="s">
        <v>0</v>
      </c>
      <c r="B1" s="27" t="s">
        <v>1</v>
      </c>
      <c r="C1" s="27" t="s">
        <v>2</v>
      </c>
    </row>
    <row r="2" spans="1:9">
      <c r="A2" s="10">
        <v>44636.333333333336</v>
      </c>
      <c r="B2">
        <v>25</v>
      </c>
      <c r="C2" t="s">
        <v>29</v>
      </c>
    </row>
    <row r="3" spans="1:9">
      <c r="A3" s="10">
        <v>44636.5</v>
      </c>
      <c r="B3">
        <v>25</v>
      </c>
      <c r="C3" t="s">
        <v>29</v>
      </c>
    </row>
    <row r="4" spans="1:9">
      <c r="A4" s="10">
        <v>44636.541666666664</v>
      </c>
      <c r="B4">
        <v>25</v>
      </c>
      <c r="C4" t="s">
        <v>29</v>
      </c>
    </row>
    <row r="5" spans="1:9">
      <c r="A5" s="10">
        <v>44636.708333333336</v>
      </c>
      <c r="B5">
        <v>25</v>
      </c>
      <c r="C5" t="s">
        <v>29</v>
      </c>
    </row>
    <row r="6" spans="1:9">
      <c r="A6" s="10">
        <v>44636.340277777781</v>
      </c>
      <c r="B6">
        <v>26</v>
      </c>
      <c r="C6" t="s">
        <v>29</v>
      </c>
    </row>
    <row r="7" spans="1:9">
      <c r="A7" s="10">
        <v>44636.503472222219</v>
      </c>
      <c r="B7">
        <v>26</v>
      </c>
      <c r="C7" t="s">
        <v>29</v>
      </c>
    </row>
    <row r="8" spans="1:9">
      <c r="A8" s="10">
        <v>44636.545138888891</v>
      </c>
      <c r="B8">
        <v>26</v>
      </c>
      <c r="C8" t="s">
        <v>29</v>
      </c>
    </row>
    <row r="9" spans="1:9">
      <c r="A9" s="10">
        <v>44636.770833333336</v>
      </c>
      <c r="B9">
        <v>26</v>
      </c>
      <c r="C9" t="s">
        <v>29</v>
      </c>
    </row>
    <row r="10" spans="1:9">
      <c r="A10" s="10">
        <v>44636.333333333336</v>
      </c>
      <c r="B10">
        <v>27</v>
      </c>
      <c r="C10" t="s">
        <v>29</v>
      </c>
    </row>
    <row r="11" spans="1:9">
      <c r="A11" s="10">
        <v>44636.5</v>
      </c>
      <c r="B11">
        <v>27</v>
      </c>
      <c r="C11" t="s">
        <v>29</v>
      </c>
    </row>
    <row r="12" spans="1:9">
      <c r="A12" s="10">
        <v>44636.375</v>
      </c>
      <c r="B12">
        <v>29</v>
      </c>
      <c r="C12" t="s">
        <v>29</v>
      </c>
    </row>
    <row r="13" spans="1:9">
      <c r="A13" s="10">
        <v>44636.5</v>
      </c>
      <c r="B13">
        <v>29</v>
      </c>
      <c r="C13" t="s">
        <v>29</v>
      </c>
      <c r="I13" s="6"/>
    </row>
    <row r="14" spans="1:9">
      <c r="A14" s="10">
        <v>44636.541666666664</v>
      </c>
      <c r="B14">
        <v>29</v>
      </c>
      <c r="C14" t="s">
        <v>29</v>
      </c>
      <c r="F14" s="2"/>
    </row>
    <row r="15" spans="1:9">
      <c r="A15" s="10">
        <v>44636.666666666664</v>
      </c>
      <c r="B15">
        <v>29</v>
      </c>
      <c r="C15" t="s">
        <v>29</v>
      </c>
    </row>
    <row r="16" spans="1:9">
      <c r="A16" s="10">
        <v>44637.333333333336</v>
      </c>
      <c r="B16">
        <v>25</v>
      </c>
      <c r="C16" t="s">
        <v>29</v>
      </c>
    </row>
    <row r="17" spans="1:14">
      <c r="A17" s="10">
        <v>44637.5</v>
      </c>
      <c r="B17">
        <v>25</v>
      </c>
      <c r="C17" t="s">
        <v>29</v>
      </c>
    </row>
    <row r="18" spans="1:14">
      <c r="A18" s="10">
        <v>44637.541666666664</v>
      </c>
      <c r="B18">
        <v>25</v>
      </c>
      <c r="C18" t="s">
        <v>29</v>
      </c>
      <c r="N18" s="6"/>
    </row>
    <row r="19" spans="1:14">
      <c r="A19" s="10">
        <v>44637.708333333336</v>
      </c>
      <c r="B19">
        <v>25</v>
      </c>
      <c r="C19" t="s">
        <v>29</v>
      </c>
    </row>
    <row r="20" spans="1:14">
      <c r="A20" s="10">
        <v>44637.333333333336</v>
      </c>
      <c r="B20">
        <v>26</v>
      </c>
      <c r="C20" t="s">
        <v>29</v>
      </c>
    </row>
    <row r="21" spans="1:14">
      <c r="A21" s="10">
        <v>44637.5</v>
      </c>
      <c r="B21">
        <v>26</v>
      </c>
      <c r="C21" t="s">
        <v>29</v>
      </c>
      <c r="L21" s="2"/>
    </row>
    <row r="22" spans="1:14">
      <c r="A22" s="10">
        <v>44637.541666666664</v>
      </c>
      <c r="B22">
        <v>26</v>
      </c>
      <c r="C22" t="s">
        <v>29</v>
      </c>
    </row>
    <row r="23" spans="1:14">
      <c r="A23" s="10">
        <v>44637.708333333336</v>
      </c>
      <c r="B23">
        <v>26</v>
      </c>
      <c r="C23" t="s">
        <v>29</v>
      </c>
    </row>
    <row r="24" spans="1:14">
      <c r="A24" s="10">
        <v>44637.354166666664</v>
      </c>
      <c r="B24">
        <v>27</v>
      </c>
      <c r="C24" t="s">
        <v>29</v>
      </c>
    </row>
    <row r="25" spans="1:14">
      <c r="A25" s="10">
        <v>44637.5</v>
      </c>
      <c r="B25">
        <v>27</v>
      </c>
      <c r="C25" t="s">
        <v>29</v>
      </c>
    </row>
    <row r="26" spans="1:14">
      <c r="A26" s="10">
        <v>44637.541666666664</v>
      </c>
      <c r="B26">
        <v>27</v>
      </c>
      <c r="C26" t="s">
        <v>29</v>
      </c>
    </row>
    <row r="27" spans="1:14">
      <c r="A27" s="10">
        <v>44637.333333333336</v>
      </c>
      <c r="B27">
        <v>29</v>
      </c>
      <c r="C27" t="s">
        <v>29</v>
      </c>
    </row>
    <row r="28" spans="1:14">
      <c r="A28" s="10">
        <v>44637.5</v>
      </c>
      <c r="B28">
        <v>29</v>
      </c>
      <c r="C28" t="s">
        <v>29</v>
      </c>
    </row>
    <row r="29" spans="1:14">
      <c r="A29" s="10">
        <v>44637.541666666664</v>
      </c>
      <c r="B29">
        <v>29</v>
      </c>
      <c r="C29" t="s">
        <v>29</v>
      </c>
    </row>
    <row r="30" spans="1:14">
      <c r="A30" s="10">
        <v>44637.708333333336</v>
      </c>
      <c r="B30">
        <v>29</v>
      </c>
      <c r="C30" t="s">
        <v>29</v>
      </c>
    </row>
    <row r="31" spans="1:14">
      <c r="A31" s="10">
        <v>44638.333333333336</v>
      </c>
      <c r="B31">
        <v>25</v>
      </c>
      <c r="C31" t="s">
        <v>29</v>
      </c>
    </row>
    <row r="32" spans="1:14">
      <c r="A32" s="10">
        <v>44638.5</v>
      </c>
      <c r="B32">
        <v>25</v>
      </c>
      <c r="C32" t="s">
        <v>29</v>
      </c>
    </row>
    <row r="33" spans="1:3">
      <c r="A33" s="10">
        <v>44638.541666666664</v>
      </c>
      <c r="B33">
        <v>25</v>
      </c>
      <c r="C33" t="s">
        <v>29</v>
      </c>
    </row>
    <row r="34" spans="1:3">
      <c r="A34" s="10">
        <v>44638.708333333336</v>
      </c>
      <c r="B34">
        <v>25</v>
      </c>
      <c r="C34" t="s">
        <v>29</v>
      </c>
    </row>
    <row r="35" spans="1:3">
      <c r="A35" s="10">
        <v>44638.333333333336</v>
      </c>
      <c r="B35">
        <v>26</v>
      </c>
      <c r="C35" t="s">
        <v>29</v>
      </c>
    </row>
    <row r="36" spans="1:3">
      <c r="A36" s="10">
        <v>44638.5</v>
      </c>
      <c r="B36">
        <v>26</v>
      </c>
      <c r="C36" t="s">
        <v>29</v>
      </c>
    </row>
    <row r="37" spans="1:3">
      <c r="A37" s="10">
        <v>44638.541666666664</v>
      </c>
      <c r="B37">
        <v>26</v>
      </c>
      <c r="C37" t="s">
        <v>29</v>
      </c>
    </row>
    <row r="38" spans="1:3">
      <c r="A38" s="10">
        <v>44638.708333333336</v>
      </c>
      <c r="B38">
        <v>26</v>
      </c>
      <c r="C38" t="s">
        <v>29</v>
      </c>
    </row>
    <row r="39" spans="1:3">
      <c r="A39" s="10">
        <v>44638.333333333336</v>
      </c>
      <c r="B39">
        <v>27</v>
      </c>
      <c r="C39" t="s">
        <v>29</v>
      </c>
    </row>
    <row r="40" spans="1:3">
      <c r="A40" s="10">
        <v>44638.5</v>
      </c>
      <c r="B40">
        <v>27</v>
      </c>
      <c r="C40" t="s">
        <v>29</v>
      </c>
    </row>
    <row r="41" spans="1:3">
      <c r="A41" s="10">
        <v>44638.541666666664</v>
      </c>
      <c r="B41">
        <v>27</v>
      </c>
      <c r="C41" t="s">
        <v>29</v>
      </c>
    </row>
    <row r="42" spans="1:3">
      <c r="A42" s="10">
        <v>44638.708333333336</v>
      </c>
      <c r="B42">
        <v>27</v>
      </c>
      <c r="C42" t="s">
        <v>29</v>
      </c>
    </row>
    <row r="43" spans="1:3">
      <c r="A43" s="10">
        <v>44638.333333333336</v>
      </c>
      <c r="B43">
        <v>29</v>
      </c>
      <c r="C43" t="s">
        <v>29</v>
      </c>
    </row>
    <row r="44" spans="1:3">
      <c r="A44" s="10">
        <v>44638.5</v>
      </c>
      <c r="B44">
        <v>29</v>
      </c>
      <c r="C44" t="s">
        <v>29</v>
      </c>
    </row>
    <row r="45" spans="1:3">
      <c r="A45" s="10">
        <v>44639.333333333336</v>
      </c>
      <c r="B45">
        <v>25</v>
      </c>
      <c r="C45" t="s">
        <v>29</v>
      </c>
    </row>
    <row r="46" spans="1:3">
      <c r="A46" s="10">
        <v>44639.5</v>
      </c>
      <c r="B46">
        <v>25</v>
      </c>
      <c r="C46" t="s">
        <v>29</v>
      </c>
    </row>
    <row r="47" spans="1:3">
      <c r="A47" s="10">
        <v>44639.541666666664</v>
      </c>
      <c r="B47">
        <v>25</v>
      </c>
      <c r="C47" t="s">
        <v>29</v>
      </c>
    </row>
    <row r="48" spans="1:3">
      <c r="A48" s="10">
        <v>44639.708333333336</v>
      </c>
      <c r="B48">
        <v>25</v>
      </c>
      <c r="C48" t="s">
        <v>29</v>
      </c>
    </row>
    <row r="49" spans="1:3">
      <c r="A49" s="10">
        <v>44639.416666666664</v>
      </c>
      <c r="B49">
        <v>26</v>
      </c>
      <c r="C49" t="s">
        <v>29</v>
      </c>
    </row>
    <row r="50" spans="1:3">
      <c r="A50" s="10">
        <v>44639.5</v>
      </c>
      <c r="B50">
        <v>26</v>
      </c>
      <c r="C50" t="s">
        <v>29</v>
      </c>
    </row>
    <row r="51" spans="1:3">
      <c r="A51" s="10">
        <v>44639.541666666664</v>
      </c>
      <c r="B51">
        <v>26</v>
      </c>
      <c r="C51" t="s">
        <v>29</v>
      </c>
    </row>
    <row r="52" spans="1:3">
      <c r="A52" s="10">
        <v>44639.708333333336</v>
      </c>
      <c r="B52">
        <v>26</v>
      </c>
      <c r="C52" t="s">
        <v>29</v>
      </c>
    </row>
    <row r="53" spans="1:3">
      <c r="A53" s="10">
        <v>44639.333333333336</v>
      </c>
      <c r="B53">
        <v>27</v>
      </c>
      <c r="C53" t="s">
        <v>29</v>
      </c>
    </row>
    <row r="54" spans="1:3">
      <c r="A54" s="10">
        <v>44639.5</v>
      </c>
      <c r="B54">
        <v>27</v>
      </c>
      <c r="C54" t="s">
        <v>29</v>
      </c>
    </row>
    <row r="55" spans="1:3">
      <c r="A55" s="10">
        <v>44639.541666666664</v>
      </c>
      <c r="B55">
        <v>27</v>
      </c>
      <c r="C55" t="s">
        <v>29</v>
      </c>
    </row>
    <row r="56" spans="1:3">
      <c r="A56" s="10">
        <v>44639.791666666664</v>
      </c>
      <c r="B56">
        <v>27</v>
      </c>
      <c r="C56" t="s">
        <v>29</v>
      </c>
    </row>
    <row r="57" spans="1:3">
      <c r="A57" s="10">
        <v>44639.333333333336</v>
      </c>
      <c r="B57">
        <v>29</v>
      </c>
      <c r="C57" t="s">
        <v>29</v>
      </c>
    </row>
    <row r="58" spans="1:3">
      <c r="A58" s="10">
        <v>44639.5</v>
      </c>
      <c r="B58">
        <v>29</v>
      </c>
      <c r="C58" t="s">
        <v>29</v>
      </c>
    </row>
    <row r="59" spans="1:3">
      <c r="A59" s="10">
        <v>44639.541666666664</v>
      </c>
      <c r="B59">
        <v>29</v>
      </c>
      <c r="C59" t="s">
        <v>29</v>
      </c>
    </row>
    <row r="60" spans="1:3">
      <c r="A60" s="10">
        <v>44639.708333333336</v>
      </c>
      <c r="B60">
        <v>29</v>
      </c>
      <c r="C60" t="s">
        <v>29</v>
      </c>
    </row>
    <row r="61" spans="1:3">
      <c r="A61" s="10">
        <v>44640.333333333336</v>
      </c>
      <c r="B61">
        <v>25</v>
      </c>
      <c r="C61" t="s">
        <v>29</v>
      </c>
    </row>
    <row r="62" spans="1:3">
      <c r="A62" s="10">
        <v>44640.5</v>
      </c>
      <c r="B62">
        <v>25</v>
      </c>
      <c r="C62" t="s">
        <v>29</v>
      </c>
    </row>
    <row r="63" spans="1:3">
      <c r="A63" s="10">
        <v>44640.541666666664</v>
      </c>
      <c r="B63">
        <v>25</v>
      </c>
      <c r="C63" t="s">
        <v>29</v>
      </c>
    </row>
    <row r="64" spans="1:3">
      <c r="A64" s="10">
        <v>44640.708333333336</v>
      </c>
      <c r="B64">
        <v>25</v>
      </c>
      <c r="C64" t="s">
        <v>29</v>
      </c>
    </row>
    <row r="65" spans="1:7">
      <c r="A65" s="10">
        <v>44640.333333333336</v>
      </c>
      <c r="B65">
        <v>26</v>
      </c>
      <c r="C65" t="s">
        <v>29</v>
      </c>
    </row>
    <row r="66" spans="1:7">
      <c r="A66" s="10">
        <v>44640.5</v>
      </c>
      <c r="B66">
        <v>26</v>
      </c>
      <c r="C66" t="s">
        <v>29</v>
      </c>
    </row>
    <row r="67" spans="1:7">
      <c r="A67" s="10">
        <v>44640.333333333336</v>
      </c>
      <c r="B67">
        <v>27</v>
      </c>
      <c r="C67" t="s">
        <v>29</v>
      </c>
      <c r="D67" s="6"/>
      <c r="G67" s="77"/>
    </row>
    <row r="68" spans="1:7">
      <c r="A68" s="10">
        <v>44640.5</v>
      </c>
      <c r="B68">
        <v>27</v>
      </c>
      <c r="C68" t="s">
        <v>29</v>
      </c>
    </row>
    <row r="69" spans="1:7">
      <c r="A69" s="10">
        <v>44640.541666666664</v>
      </c>
      <c r="B69">
        <v>27</v>
      </c>
      <c r="C69" t="s">
        <v>29</v>
      </c>
    </row>
    <row r="70" spans="1:7">
      <c r="A70" s="10">
        <v>44640.708333333336</v>
      </c>
      <c r="B70">
        <v>27</v>
      </c>
      <c r="C70" t="s">
        <v>29</v>
      </c>
    </row>
    <row r="71" spans="1:7" s="6" customFormat="1">
      <c r="A71" s="25">
        <v>44640.333333333336</v>
      </c>
      <c r="B71" s="6">
        <v>29</v>
      </c>
      <c r="C71" t="s">
        <v>29</v>
      </c>
    </row>
    <row r="72" spans="1:7">
      <c r="A72" s="10">
        <v>44640.5</v>
      </c>
      <c r="B72">
        <v>29</v>
      </c>
      <c r="C72" t="s">
        <v>29</v>
      </c>
    </row>
    <row r="73" spans="1:7">
      <c r="A73" s="10">
        <v>44640.541666666664</v>
      </c>
      <c r="B73">
        <v>29</v>
      </c>
      <c r="C73" t="s">
        <v>29</v>
      </c>
    </row>
    <row r="74" spans="1:7">
      <c r="A74" s="10">
        <v>44640.708333333336</v>
      </c>
      <c r="B74">
        <v>29</v>
      </c>
      <c r="C74" t="s">
        <v>29</v>
      </c>
    </row>
    <row r="78" spans="1:7">
      <c r="C78" s="75"/>
    </row>
  </sheetData>
  <sheetProtection selectLockedCells="1"/>
  <pageMargins left="0.511811024" right="0.511811024" top="0.78740157499999996" bottom="0.78740157499999996" header="0.31496062000000002" footer="0.31496062000000002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DASHBOARD</vt:lpstr>
      <vt:lpstr>IMPORTACAO</vt:lpstr>
      <vt:lpstr>FUNCIONARIOS</vt:lpstr>
      <vt:lpstr>BASE_PONTO</vt:lpstr>
      <vt:lpstr>JORNADA</vt:lpstr>
      <vt:lpstr>AUXILIAR</vt:lpstr>
      <vt:lpstr>MODELO_PDF</vt:lpstr>
      <vt:lpstr>VIEW</vt:lpstr>
      <vt:lpstr>Forms_Teste</vt:lpstr>
      <vt:lpstr>DASHBOARD!Area_de_impressao</vt:lpstr>
      <vt:lpstr>MODELO_PDF!Area_de_impressao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JULIO CESAR LEANDRO ALMADA</dc:creator>
  <cp:lastModifiedBy>JULIO CESAR LEANDRO ALMADA</cp:lastModifiedBy>
  <cp:lastPrinted>2026-03-31T23:40:43Z</cp:lastPrinted>
  <dcterms:created xsi:type="dcterms:W3CDTF">2026-03-10T21:20:09Z</dcterms:created>
  <dcterms:modified xsi:type="dcterms:W3CDTF">2026-03-31T23:41:28Z</dcterms:modified>
</cp:coreProperties>
</file>